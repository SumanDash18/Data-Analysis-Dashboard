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HP\Desktop\Excel\"/>
    </mc:Choice>
  </mc:AlternateContent>
  <xr:revisionPtr revIDLastSave="0" documentId="8_{506FCC66-987D-433D-9078-CFCE43388281}" xr6:coauthVersionLast="47" xr6:coauthVersionMax="47" xr10:uidLastSave="{00000000-0000-0000-0000-000000000000}"/>
  <bookViews>
    <workbookView xWindow="-120" yWindow="-120" windowWidth="20730" windowHeight="11040" activeTab="2" xr2:uid="{26D4546B-D2A1-4444-8EAF-A6228F96F0C1}"/>
  </bookViews>
  <sheets>
    <sheet name="Pivots" sheetId="6" r:id="rId1"/>
    <sheet name="Data" sheetId="2" r:id="rId2"/>
    <sheet name="Customer Centre Report" sheetId="5" r:id="rId3"/>
    <sheet name="Assets" sheetId="4" r:id="rId4"/>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52" i="6" l="1"/>
  <c r="G55" i="6" s="1"/>
  <c r="G60" i="6" s="1"/>
  <c r="K29" i="5" s="1"/>
  <c r="G51" i="6"/>
  <c r="G54" i="6" s="1"/>
  <c r="G59" i="6" s="1"/>
  <c r="K28" i="5" s="1"/>
  <c r="G50" i="6"/>
  <c r="G58" i="6" s="1"/>
  <c r="K27" i="5" s="1"/>
  <c r="O16" i="5" a="1"/>
  <c r="O16" i="5" s="1"/>
  <c r="N18" i="5" a="1"/>
  <c r="N18" i="5" s="1"/>
  <c r="J35" i="6"/>
  <c r="J41"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42" i="6" l="1"/>
  <c r="J39" i="6"/>
  <c r="J40" i="6"/>
  <c r="I41" i="6"/>
  <c r="J43" i="6"/>
  <c r="I40" i="6"/>
  <c r="J42" i="6"/>
  <c r="I43" i="6"/>
  <c r="I3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DAFC75-8F0F-4BF2-BCFE-C38310960DAA}"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DCA3C7A-B443-4364-914C-2B64D9831739}" name="WorksheetConnection_07.sample-data-excel-portfolio-project.xlsx!calls" type="102" refreshedVersion="7"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003F8260-4F27-4EC4-9906-DDA876FC2684}" name="WorksheetConnection_07.sample-data-excel-portfolio-project.xlsx!customers" type="102" refreshedVersion="7"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<sst xmlns="http://schemas.openxmlformats.org/spreadsheetml/2006/main" count="3180" uniqueCount="1087">
  <si>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</si>
  <si>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</si>
  <si>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</si>
  <si>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</si>
  <si>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</si>
  <si>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</si>
  <si>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</si>
  <si>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</si>
  <si>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</si>
  <si>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</si>
  <si>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</si>
  <si>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</si>
  <si>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</si>
  <si>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</si>
  <si>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</si>
  <si>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</si>
  <si>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</si>
  <si>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</si>
  <si>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</si>
  <si>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</si>
  <si>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</si>
  <si>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</si>
  <si>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</si>
  <si>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</si>
  <si>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</si>
  <si>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</si>
  <si>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</si>
  <si>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</si>
  <si>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</si>
  <si>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</si>
  <si>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</si>
  <si>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</si>
  <si>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</si>
  <si>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</si>
  <si>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</si>
  <si>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</si>
  <si>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</si>
  <si>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</si>
  <si>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</si>
  <si>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</si>
  <si>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</si>
  <si>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</si>
  <si>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</si>
  <si>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</si>
  <si>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</si>
  <si>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</si>
  <si>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</si>
  <si>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</si>
  <si>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</si>
  <si>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</si>
  <si>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</si>
  <si>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</si>
  <si>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</si>
  <si>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</si>
  <si>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</si>
  <si>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</si>
  <si>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</si>
  <si>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</si>
  <si>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</si>
  <si>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</si>
  <si>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</si>
  <si>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</si>
  <si>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</si>
  <si>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</si>
  <si>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</si>
  <si>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</si>
  <si>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</si>
  <si>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</si>
  <si>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</si>
  <si>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</si>
  <si>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</si>
  <si>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</si>
  <si>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</si>
  <si>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</si>
  <si>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</si>
  <si>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</si>
  <si>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</si>
  <si>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</si>
  <si>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</si>
  <si>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</si>
  <si>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</si>
  <si>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</si>
  <si>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</si>
  <si>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</si>
  <si>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</si>
  <si>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</si>
  <si>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</si>
  <si>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</si>
  <si>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</si>
  <si>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</si>
  <si>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</si>
  <si>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</si>
  <si>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</si>
  <si>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</si>
  <si>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</si>
  <si>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</si>
  <si>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</si>
  <si>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</si>
  <si>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</si>
  <si>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</si>
  <si>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</si>
  <si>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</si>
  <si>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</si>
  <si>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</si>
  <si>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</si>
  <si>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</si>
  <si>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</si>
  <si>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</si>
  <si>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</si>
  <si>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</si>
  <si>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</si>
  <si>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</si>
  <si>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</si>
  <si>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</si>
  <si>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</si>
  <si>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</si>
  <si>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</si>
  <si>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</si>
  <si>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</si>
  <si>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</si>
  <si>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</si>
  <si>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</si>
  <si>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</si>
  <si>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</si>
  <si>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</si>
  <si>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</si>
  <si>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</si>
  <si>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</si>
  <si>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</si>
  <si>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</si>
  <si>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</si>
  <si>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</si>
  <si>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</si>
  <si>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</si>
  <si>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</si>
  <si>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</si>
  <si>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</si>
  <si>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</si>
  <si>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</si>
  <si>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</si>
  <si>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</si>
  <si>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</si>
  <si>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</si>
  <si>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</si>
  <si>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</si>
  <si>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</si>
  <si>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</si>
  <si>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</si>
  <si>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</si>
  <si>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</si>
  <si>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</si>
  <si>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</si>
  <si>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</si>
  <si>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</si>
  <si>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</si>
  <si>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</si>
  <si>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</si>
  <si>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</si>
  <si>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</si>
  <si>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</si>
  <si>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</si>
  <si>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</si>
  <si>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</si>
  <si>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</si>
  <si>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</si>
  <si>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</si>
  <si>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</si>
  <si>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</si>
  <si>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</si>
  <si>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</si>
  <si>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</si>
  <si>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</si>
  <si>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</si>
  <si>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</si>
  <si>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</si>
  <si>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</si>
  <si>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</si>
  <si>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</si>
  <si>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</si>
  <si>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</si>
  <si>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</si>
  <si>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</si>
  <si>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</si>
  <si>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</si>
  <si>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</si>
  <si>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</si>
  <si>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</si>
  <si>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</si>
  <si>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</si>
  <si>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</si>
  <si>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</si>
  <si>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</si>
  <si>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</si>
  <si>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</si>
  <si>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</si>
  <si>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</si>
  <si>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</si>
  <si>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</si>
  <si>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</si>
  <si>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</si>
  <si>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</si>
  <si>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</si>
  <si>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</si>
  <si>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</si>
  <si>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</si>
  <si>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</si>
  <si>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</si>
  <si>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</si>
  <si>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</si>
  <si>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</si>
  <si>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</si>
  <si>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</si>
  <si>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</si>
  <si>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</si>
  <si>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</si>
  <si>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</si>
  <si>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</si>
  <si>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</si>
  <si>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</si>
  <si>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</si>
  <si>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</si>
  <si>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</si>
  <si>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</si>
  <si>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</si>
  <si>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</si>
  <si>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</si>
  <si>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</si>
  <si>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</si>
  <si>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</si>
  <si>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</si>
  <si>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</si>
  <si>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</si>
  <si>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</si>
  <si>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</si>
  <si>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</si>
  <si>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</si>
  <si>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</si>
  <si>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</si>
  <si>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</si>
  <si>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</si>
  <si>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</si>
  <si>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</si>
  <si>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</si>
  <si>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</si>
  <si>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</si>
  <si>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</si>
  <si>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</si>
  <si>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</si>
  <si>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</si>
  <si>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</si>
  <si>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</si>
  <si>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</si>
  <si>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</si>
  <si>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</si>
  <si>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</si>
  <si>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</si>
  <si>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</si>
  <si>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</si>
  <si>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</si>
  <si>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</si>
  <si>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</si>
  <si>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</si>
  <si>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</si>
  <si>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</si>
  <si>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</si>
  <si>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</si>
  <si>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</si>
  <si>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</si>
  <si>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</si>
  <si>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</si>
  <si>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</si>
  <si>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</si>
  <si>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</si>
  <si>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</si>
  <si>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</si>
  <si>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</si>
  <si>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</si>
  <si>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</si>
  <si>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</si>
  <si>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</si>
  <si>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</si>
  <si>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</si>
  <si>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</si>
  <si>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</si>
  <si>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</si>
  <si>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</si>
  <si>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</si>
  <si>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</si>
  <si>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</si>
  <si>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</si>
  <si>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</si>
  <si>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</si>
  <si>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</si>
  <si>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</si>
  <si>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</si>
  <si>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</si>
  <si>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</si>
  <si>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</si>
  <si>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</si>
  <si>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</si>
  <si>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</si>
  <si>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</si>
  <si>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</si>
  <si>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</si>
  <si>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</si>
  <si>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</si>
  <si>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</si>
  <si>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</si>
  <si>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</si>
  <si>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</si>
  <si>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</si>
  <si>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</si>
  <si>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</si>
  <si>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</si>
  <si>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</si>
  <si>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</si>
  <si>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</si>
  <si>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</si>
  <si>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</si>
  <si>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</si>
  <si>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</si>
  <si>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</si>
  <si>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</si>
  <si>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</si>
  <si>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</si>
  <si>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</si>
  <si>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</si>
  <si>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</si>
  <si>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</si>
  <si>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</si>
  <si>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</si>
  <si>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</si>
  <si>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</si>
  <si>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</si>
  <si>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</si>
  <si>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</si>
  <si>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</si>
  <si>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</si>
  <si>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</si>
  <si>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</si>
  <si>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</si>
  <si>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</si>
  <si>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</si>
  <si>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</si>
  <si>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</si>
  <si>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</si>
  <si>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</si>
  <si>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</si>
  <si>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</si>
  <si>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</si>
  <si>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</si>
  <si>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</si>
  <si>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</si>
  <si>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</si>
  <si>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</si>
  <si>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</si>
  <si>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</si>
  <si>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</si>
  <si>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</si>
  <si>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</si>
  <si>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</si>
  <si>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</si>
  <si>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</si>
  <si>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</si>
  <si>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</si>
  <si>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</si>
  <si>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</si>
  <si>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</si>
  <si>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</si>
  <si>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</si>
  <si>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</si>
  <si>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</si>
  <si>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</si>
  <si>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</si>
  <si>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</si>
  <si>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</si>
  <si>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</si>
  <si>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</si>
  <si>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</si>
  <si>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</si>
  <si>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</si>
  <si>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</si>
  <si>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</si>
  <si>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</si>
  <si>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</si>
  <si>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</si>
  <si>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</si>
  <si>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</si>
  <si>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</si>
  <si>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</si>
  <si>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</si>
  <si>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</si>
  <si>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</si>
  <si>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</si>
  <si>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</si>
  <si>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</si>
  <si>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</si>
  <si>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</si>
  <si>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</si>
  <si>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</si>
  <si>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</si>
  <si>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</si>
  <si>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</si>
  <si>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</si>
  <si>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</si>
  <si>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</si>
  <si>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</si>
  <si>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</si>
  <si>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</si>
  <si>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</si>
  <si>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</si>
  <si>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</si>
  <si>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</si>
  <si>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</si>
  <si>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</si>
  <si>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</si>
  <si>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</si>
  <si>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</si>
  <si>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</si>
  <si>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</si>
  <si>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</si>
  <si>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</si>
  <si>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</si>
  <si>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</si>
  <si>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</si>
  <si>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</si>
  <si>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</si>
  <si>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</si>
  <si>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</si>
  <si>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</si>
  <si>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</si>
  <si>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</si>
  <si>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</si>
  <si>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</si>
  <si>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</si>
  <si>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</si>
  <si>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</si>
  <si>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</si>
  <si>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</si>
  <si>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</si>
  <si>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</si>
  <si>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</si>
  <si>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</si>
  <si>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</si>
  <si>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</si>
  <si>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</si>
  <si>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</si>
  <si>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</si>
  <si>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</si>
  <si>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</si>
  <si>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</si>
  <si>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</si>
  <si>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</si>
  <si>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</si>
  <si>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</si>
  <si>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</si>
  <si>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</si>
  <si>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</si>
  <si>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</si>
  <si>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</si>
  <si>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</si>
  <si>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</si>
  <si>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</si>
  <si>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</si>
  <si>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</si>
  <si>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</si>
  <si>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</si>
  <si>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</si>
  <si>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</si>
  <si>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</si>
  <si>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</si>
  <si>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</si>
  <si>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</si>
  <si>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</si>
  <si>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</si>
  <si>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</si>
  <si>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</si>
  <si>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</si>
  <si>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</si>
  <si>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</si>
  <si>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</si>
  <si>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</si>
  <si>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</si>
  <si>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</si>
  <si>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</si>
  <si>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</si>
  <si>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</si>
  <si>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</si>
  <si>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</si>
  <si>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</si>
  <si>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</si>
  <si>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</si>
  <si>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</si>
  <si>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</si>
  <si>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</si>
  <si>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</si>
  <si>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</si>
  <si>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</si>
  <si>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</si>
  <si>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</si>
  <si>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</si>
  <si>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</si>
  <si>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</si>
  <si>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</si>
  <si>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</si>
  <si>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</si>
  <si>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</si>
  <si>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</si>
  <si>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</si>
  <si>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</si>
  <si>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</si>
  <si>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</si>
  <si>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</si>
  <si>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</si>
  <si>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</si>
  <si>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</si>
  <si>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</si>
  <si>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</si>
  <si>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</si>
  <si>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</si>
  <si>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</si>
  <si>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</si>
  <si>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</si>
  <si>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</si>
  <si>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</si>
  <si>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</si>
  <si>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</si>
  <si>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</si>
  <si>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</si>
  <si>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</si>
  <si>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</si>
  <si>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</si>
  <si>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</si>
  <si>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</si>
  <si>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</si>
  <si>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</si>
  <si>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</si>
  <si>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</si>
  <si>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</si>
  <si>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</si>
  <si>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</si>
  <si>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</si>
  <si>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</si>
  <si>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</si>
  <si>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</si>
  <si>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</si>
  <si>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</si>
  <si>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</si>
  <si>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</si>
  <si>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</si>
  <si>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</si>
  <si>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</si>
  <si>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</si>
  <si>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</si>
  <si>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</si>
  <si>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</si>
  <si>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</si>
  <si>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</si>
  <si>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</si>
  <si>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</si>
  <si>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</si>
  <si>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</si>
  <si>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</si>
  <si>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</si>
  <si>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</si>
  <si>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</si>
  <si>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</si>
  <si>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</si>
  <si>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</si>
  <si>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</si>
  <si>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</si>
  <si>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</si>
  <si>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</si>
  <si>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</si>
  <si>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</si>
  <si>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</si>
  <si>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</si>
  <si>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</si>
  <si>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</si>
  <si>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</si>
  <si>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</si>
  <si>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</si>
  <si>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</si>
  <si>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</si>
  <si>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</si>
  <si>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</si>
  <si>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</si>
  <si>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</si>
  <si>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</si>
  <si>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</si>
  <si>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</si>
  <si>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</si>
  <si>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</si>
  <si>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</si>
  <si>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</si>
  <si>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</si>
  <si>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</si>
  <si>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</si>
  <si>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</si>
  <si>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</si>
  <si>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</si>
  <si>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</si>
  <si>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</si>
  <si>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</si>
  <si>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</si>
  <si>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</si>
  <si>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</si>
  <si>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</si>
  <si>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</si>
  <si>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</si>
  <si>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</si>
  <si>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</si>
  <si>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</si>
  <si>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</si>
  <si>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</si>
  <si>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</si>
  <si>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</si>
  <si>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</si>
  <si>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</si>
  <si>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</si>
  <si>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</si>
  <si>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</si>
  <si>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</si>
  <si>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</si>
  <si>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</si>
  <si>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</si>
  <si>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</si>
  <si>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</si>
  <si>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</si>
  <si>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</si>
  <si>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</si>
  <si>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</si>
  <si>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</si>
  <si>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</si>
  <si>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</si>
  <si>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</si>
  <si>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</si>
  <si>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</si>
  <si>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</si>
  <si>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</si>
  <si>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</si>
  <si>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</si>
  <si>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</si>
  <si>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</si>
  <si>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</si>
  <si>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</si>
  <si>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</si>
  <si>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</si>
  <si>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</si>
  <si>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</si>
  <si>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</si>
  <si>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</si>
  <si>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</si>
  <si>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</si>
  <si>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</si>
  <si>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</si>
  <si>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</si>
  <si>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</si>
  <si>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</si>
  <si>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</si>
  <si>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</si>
  <si>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</si>
  <si>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</si>
  <si>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</si>
  <si>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</si>
  <si>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</si>
  <si>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</si>
  <si>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</si>
  <si>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</si>
  <si>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</si>
  <si>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</si>
  <si>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</si>
  <si>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</si>
  <si>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</si>
  <si>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</si>
  <si>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</si>
  <si>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</si>
  <si>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</si>
  <si>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</si>
  <si>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</si>
  <si>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</si>
  <si>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</si>
  <si>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</si>
  <si>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</si>
  <si>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</si>
  <si>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</si>
  <si>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</si>
  <si>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</si>
  <si>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</si>
  <si>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</si>
  <si>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</si>
  <si>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</si>
  <si>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</si>
  <si>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</si>
  <si>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</si>
  <si>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</si>
  <si>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</si>
  <si>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</si>
  <si>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</si>
  <si>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</si>
  <si>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</si>
  <si>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</si>
  <si>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</si>
  <si>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</si>
  <si>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</si>
  <si>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</si>
  <si>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</si>
  <si>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</si>
  <si>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</si>
  <si>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</si>
  <si>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</si>
  <si>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</si>
  <si>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</si>
  <si>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</si>
  <si>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</si>
  <si>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</si>
  <si>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</si>
  <si>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</si>
  <si>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</si>
  <si>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</si>
  <si>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</si>
  <si>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</si>
  <si>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</si>
  <si>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</si>
  <si>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</si>
  <si>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</si>
  <si>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</si>
  <si>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</si>
  <si>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</si>
  <si>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</si>
  <si>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</si>
  <si>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</si>
  <si>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</si>
  <si>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</si>
  <si>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</si>
  <si>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</si>
  <si>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</si>
  <si>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</si>
  <si>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</si>
  <si>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</si>
  <si>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</si>
  <si>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</si>
  <si>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</si>
  <si>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</si>
  <si>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</si>
  <si>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</si>
  <si>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</si>
  <si>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</si>
  <si>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</si>
  <si>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</si>
  <si>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</si>
  <si>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</si>
  <si>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</si>
  <si>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</si>
  <si>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</si>
  <si>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</si>
  <si>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</si>
  <si>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</si>
  <si>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</si>
  <si>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</si>
  <si>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</si>
  <si>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</si>
  <si>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</si>
  <si>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</si>
  <si>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</si>
  <si>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</si>
  <si>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</si>
  <si>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</si>
  <si>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</si>
  <si>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</si>
  <si>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</si>
  <si>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</si>
  <si>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</si>
  <si>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</si>
  <si>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</si>
  <si>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</si>
  <si>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</si>
  <si>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</si>
  <si>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</si>
  <si>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</si>
  <si>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</si>
  <si>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</si>
  <si>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</si>
  <si>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</si>
  <si>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</si>
  <si>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</si>
  <si>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</si>
  <si>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</si>
  <si>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</si>
  <si>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</si>
  <si>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</si>
  <si>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</si>
  <si>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</si>
  <si>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</si>
  <si>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</si>
  <si>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</si>
  <si>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</si>
  <si>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</si>
  <si>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</si>
  <si>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</si>
  <si>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</si>
  <si>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</si>
  <si>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</si>
  <si>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</si>
  <si>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</si>
  <si>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</si>
  <si>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</si>
  <si>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</si>
  <si>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</si>
  <si>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</si>
  <si>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</si>
  <si>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</si>
  <si>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</si>
  <si>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</si>
  <si>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</si>
  <si>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</si>
  <si>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</si>
  <si>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</si>
  <si>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</si>
  <si>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</si>
  <si>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</si>
  <si>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</si>
  <si>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</si>
  <si>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</si>
  <si>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</si>
  <si>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</si>
  <si>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</si>
  <si>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</si>
  <si>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</si>
  <si>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</si>
  <si>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</si>
  <si>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</si>
  <si>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</si>
  <si>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</si>
  <si>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</si>
  <si>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</si>
  <si>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</si>
  <si>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</si>
  <si>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</si>
  <si>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</si>
  <si>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</si>
  <si>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</si>
  <si>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</si>
  <si>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</si>
  <si>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</si>
  <si>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</si>
  <si>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</si>
  <si>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</si>
  <si>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</si>
  <si>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</si>
  <si>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</si>
  <si>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</si>
  <si>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</si>
  <si>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</si>
  <si>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</si>
  <si>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</si>
  <si>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</si>
  <si>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</si>
  <si>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</si>
  <si>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</si>
  <si>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</si>
  <si>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</si>
  <si>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</si>
  <si>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</si>
  <si>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</si>
  <si>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</si>
  <si>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</si>
  <si>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</si>
  <si>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</si>
  <si>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</si>
  <si>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</si>
  <si>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</si>
  <si>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</si>
  <si>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</si>
  <si>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</si>
  <si>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</si>
  <si>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</si>
  <si>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</si>
  <si>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</si>
  <si>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</si>
  <si>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</si>
  <si>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</si>
  <si>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</si>
  <si>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</si>
  <si>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</si>
  <si>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</si>
  <si>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</si>
  <si>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</si>
  <si>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</si>
  <si>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</si>
  <si>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</si>
  <si>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</si>
  <si>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</si>
  <si>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</si>
  <si>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</si>
  <si>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</si>
  <si>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</si>
  <si>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</si>
  <si>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</si>
  <si>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</si>
  <si>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</si>
  <si>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</si>
  <si>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</si>
  <si>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</si>
  <si>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</si>
  <si>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</si>
  <si>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</si>
  <si>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</si>
  <si>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</si>
  <si>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</si>
  <si>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</si>
  <si>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</si>
  <si>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</si>
  <si>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</si>
  <si>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</si>
  <si>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</si>
  <si>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</si>
  <si>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</si>
  <si>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</si>
  <si>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</si>
  <si>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</si>
  <si>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</si>
  <si>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</si>
  <si>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</si>
  <si>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</si>
  <si>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</si>
  <si>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</si>
  <si>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</si>
  <si>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</si>
  <si>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</si>
  <si>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</si>
  <si>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</si>
  <si>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</si>
  <si>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</si>
  <si>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</si>
  <si>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</si>
  <si>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</si>
  <si>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</si>
  <si>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</si>
  <si>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</si>
  <si>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</si>
  <si>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</si>
  <si>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</si>
  <si>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</si>
  <si>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</si>
  <si>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</si>
  <si>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</si>
  <si>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</si>
  <si>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</si>
  <si>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</si>
  <si>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</si>
  <si>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</si>
  <si>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</si>
  <si>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</si>
  <si>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</si>
  <si>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</si>
  <si>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</si>
  <si>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</si>
  <si>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</si>
  <si>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</si>
  <si>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</si>
  <si>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</si>
  <si>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</si>
  <si>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</si>
  <si>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</si>
  <si>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</si>
  <si>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</si>
  <si>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</si>
  <si>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</si>
  <si>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</si>
  <si>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</si>
  <si>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</si>
  <si>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</si>
  <si>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</si>
  <si>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</si>
  <si>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</si>
  <si>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</si>
  <si>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</si>
  <si>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</si>
  <si>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</si>
  <si>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</si>
  <si>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</si>
  <si>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</si>
  <si>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</si>
  <si>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</si>
  <si>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</si>
  <si>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</si>
  <si>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</si>
  <si>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</si>
  <si>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</si>
  <si>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</si>
  <si>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</si>
  <si>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</si>
  <si>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</si>
  <si>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</si>
  <si>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</si>
  <si>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</si>
  <si>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</si>
  <si>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</si>
  <si>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</si>
  <si>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</si>
  <si>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</si>
  <si>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</si>
  <si>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</si>
  <si>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</si>
  <si>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</si>
  <si>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</si>
  <si>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</si>
  <si>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</si>
  <si>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</si>
  <si>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</si>
  <si>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</si>
  <si>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</si>
  <si>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</si>
  <si>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</si>
  <si>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</si>
  <si>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</si>
  <si>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</si>
  <si>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</si>
  <si>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</si>
  <si>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</si>
  <si>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</si>
  <si>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</si>
  <si>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</si>
  <si>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</si>
  <si>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</si>
  <si>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</si>
  <si>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</si>
  <si>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</si>
  <si>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</si>
  <si>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</si>
  <si>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</si>
  <si>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</si>
  <si>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</si>
  <si>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</si>
  <si>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</si>
  <si>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</si>
  <si>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</si>
  <si>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</si>
  <si>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</si>
  <si>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</si>
  <si>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</si>
  <si>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</si>
  <si>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Average Rating</t>
  </si>
  <si>
    <t>Total Duration</t>
  </si>
  <si>
    <t>5* Calls</t>
  </si>
  <si>
    <t>Row Labels</t>
  </si>
  <si>
    <t>Grand Total</t>
  </si>
  <si>
    <t>Jan</t>
  </si>
  <si>
    <t>Feb</t>
  </si>
  <si>
    <t>Mar</t>
  </si>
  <si>
    <t>Apr</t>
  </si>
  <si>
    <t>May</t>
  </si>
  <si>
    <t>Jun</t>
  </si>
  <si>
    <t>Jul</t>
  </si>
  <si>
    <t>Aug</t>
  </si>
  <si>
    <t>Sep</t>
  </si>
  <si>
    <t>Oct</t>
  </si>
  <si>
    <t>Nov</t>
  </si>
  <si>
    <t>Dec</t>
  </si>
  <si>
    <t>Count of Call number</t>
  </si>
  <si>
    <t>Thursday</t>
  </si>
  <si>
    <t>Saturday</t>
  </si>
  <si>
    <t>Sunday</t>
  </si>
  <si>
    <t>Monday</t>
  </si>
  <si>
    <t>Tuesday</t>
  </si>
  <si>
    <t>Wednesday</t>
  </si>
  <si>
    <t>Friday</t>
  </si>
  <si>
    <t>Count of Call number2</t>
  </si>
  <si>
    <t>Sum of Purchase Amount</t>
  </si>
  <si>
    <t>Column Labels</t>
  </si>
  <si>
    <t>Total Amount</t>
  </si>
  <si>
    <t>For Graph</t>
  </si>
  <si>
    <t>Rep</t>
  </si>
  <si>
    <t>Calls</t>
  </si>
  <si>
    <t>Amount</t>
  </si>
  <si>
    <t>Sel. Calls</t>
  </si>
  <si>
    <t>Sel. Amount</t>
  </si>
  <si>
    <t>Selected Rep</t>
  </si>
  <si>
    <t>Total</t>
  </si>
  <si>
    <t>Rep Summary</t>
  </si>
  <si>
    <t>% of Calls</t>
  </si>
  <si>
    <t>Amounts</t>
  </si>
  <si>
    <t>Call Rank</t>
  </si>
  <si>
    <t>Amount Rank</t>
  </si>
  <si>
    <t>Labels:</t>
  </si>
  <si>
    <t>Call Center Data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</si>
</sst>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
    <numFmt numFmtId="166" formatCode="\$#,##0;\(\$#,##0\);\$#,##0"/>
    <numFmt numFmtId="167" formatCode="\$#,###.0,&quot;k&quot;"/>
    <numFmt numFmtId="168" formatCode="[$$-409]#,##0"/>
  </numFmts>
  <fonts count="8">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b/>
      <sz val="11"/>
      <color theme="1"/>
      <name val="Aptos"/>
      <scheme val="minor"/>
    </font>
    <font>
      <b/>
      <sz val="14"/>
      <color theme="1"/>
      <name val="Aptos"/>
      <scheme val="minor"/>
    </font>
    <font>
      <b/>
      <sz val="12"/>
      <color theme="5" tint="0.59999389629810485"/>
      <name val="Aptos"/>
      <scheme val="minor"/>
    </font>
    <font>
      <b/>
      <sz val="36"/>
      <color rgb="FF002060"/>
      <name val="Bahnschrift"/>
      <family val="2"/>
    </font>
  </fonts>
  <fills count="7">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
      <patternFill patternType="solid">
        <fgColor theme="9"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2060"/>
      </left>
      <right/>
      <top style="thin">
        <color rgb="FF002060"/>
      </top>
      <bottom/>
      <diagonal/>
    </border>
    <border>
      <left/>
      <right/>
      <top style="thin">
        <color rgb="FF002060"/>
      </top>
      <bottom/>
      <diagonal/>
    </border>
    <border>
      <left/>
      <right style="thin">
        <color rgb="FF002060"/>
      </right>
      <top style="thin">
        <color rgb="FF002060"/>
      </top>
      <bottom/>
      <diagonal/>
    </border>
    <border>
      <left style="thin">
        <color rgb="FF002060"/>
      </left>
      <right/>
      <top/>
      <bottom/>
      <diagonal/>
    </border>
    <border>
      <left/>
      <right style="thin">
        <color rgb="FF002060"/>
      </right>
      <top/>
      <bottom/>
      <diagonal/>
    </border>
    <border>
      <left style="thin">
        <color rgb="FF002060"/>
      </left>
      <right/>
      <top/>
      <bottom style="thin">
        <color rgb="FF002060"/>
      </bottom>
      <diagonal/>
    </border>
    <border>
      <left/>
      <right/>
      <top/>
      <bottom style="thin">
        <color rgb="FF002060"/>
      </bottom>
      <diagonal/>
    </border>
    <border>
      <left/>
      <right style="thin">
        <color rgb="FF002060"/>
      </right>
      <top/>
      <bottom style="thin">
        <color rgb="FF002060"/>
      </bottom>
      <diagonal/>
    </border>
  </borders>
  <cellStyleXfs count="1">
    <xf numFmtId="0" fontId="0" fillId="0" borderId="0"/>
  </cellStyleXfs>
  <cellXfs count="47">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168" fontId="0" fillId="0" borderId="0" xfId="0" applyNumberFormat="1"/>
    <xf numFmtId="0" fontId="0" fillId="0" borderId="0" xfId="0" applyAlignment="1">
      <alignment horizontal="left" indent="1"/>
    </xf>
    <xf numFmtId="0" fontId="0" fillId="4" borderId="10" xfId="0" applyFill="1" applyBorder="1"/>
    <xf numFmtId="0" fontId="0" fillId="4" borderId="13" xfId="0" applyFill="1" applyBorder="1"/>
    <xf numFmtId="0" fontId="0" fillId="4" borderId="0" xfId="0" applyFill="1" applyBorder="1"/>
    <xf numFmtId="0" fontId="0" fillId="4" borderId="14" xfId="0" applyFill="1" applyBorder="1"/>
    <xf numFmtId="168" fontId="0" fillId="4" borderId="0" xfId="0" applyNumberFormat="1" applyFill="1" applyBorder="1"/>
    <xf numFmtId="168" fontId="0" fillId="4" borderId="14" xfId="0" applyNumberFormat="1" applyFill="1" applyBorder="1"/>
    <xf numFmtId="0" fontId="0" fillId="4" borderId="15" xfId="0" applyFill="1" applyBorder="1"/>
    <xf numFmtId="168" fontId="0" fillId="4" borderId="16" xfId="0" applyNumberFormat="1" applyFill="1" applyBorder="1"/>
    <xf numFmtId="168" fontId="0" fillId="4" borderId="17" xfId="0" applyNumberFormat="1" applyFill="1" applyBorder="1"/>
    <xf numFmtId="0" fontId="5" fillId="4" borderId="11" xfId="0" applyFont="1" applyFill="1" applyBorder="1"/>
    <xf numFmtId="0" fontId="5" fillId="4" borderId="12" xfId="0" applyFont="1" applyFill="1" applyBorder="1"/>
    <xf numFmtId="0" fontId="4" fillId="4" borderId="13" xfId="0" applyFont="1" applyFill="1" applyBorder="1"/>
    <xf numFmtId="0" fontId="0" fillId="3" borderId="0" xfId="0" applyFill="1" applyAlignment="1"/>
    <xf numFmtId="0" fontId="0" fillId="3" borderId="14" xfId="0" applyFill="1" applyBorder="1" applyAlignment="1"/>
    <xf numFmtId="0" fontId="6" fillId="5" borderId="0" xfId="0" applyFont="1" applyFill="1" applyAlignment="1">
      <alignment horizontal="center" vertical="center"/>
    </xf>
    <xf numFmtId="0" fontId="6" fillId="5" borderId="14" xfId="0" applyFont="1" applyFill="1" applyBorder="1" applyAlignment="1">
      <alignment horizontal="center" vertical="center"/>
    </xf>
    <xf numFmtId="0" fontId="7" fillId="6" borderId="0" xfId="0" applyFont="1" applyFill="1" applyAlignment="1">
      <alignment horizontal="left" vertical="top"/>
    </xf>
  </cellXfs>
  <cellStyles count="1">
    <cellStyle name="Normal" xfId="0" builtinId="0"/>
  </cellStyles>
  <dxfs count="24">
    <dxf>
      <fill>
        <patternFill>
          <bgColor theme="5" tint="0.39994506668294322"/>
        </patternFill>
      </fill>
      <border>
        <left style="thin">
          <color rgb="FF002060"/>
        </left>
        <right style="thin">
          <color rgb="FF002060"/>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rgb="FF4F81BD"/>
        </bottom>
        <vertical/>
        <horizontal/>
      </border>
    </dxf>
    <dxf>
      <font>
        <color theme="1"/>
      </font>
      <border>
        <left style="thin">
          <color rgb="FF4F81BD"/>
        </left>
        <right style="thin">
          <color rgb="FF4F81BD"/>
        </right>
        <top style="thin">
          <color rgb="FF4F81BD"/>
        </top>
        <bottom style="thin">
          <color rgb="FF4F81BD"/>
        </bottom>
        <vertical/>
        <horizontal/>
      </border>
    </dxf>
    <dxf>
      <font>
        <b/>
        <color theme="1"/>
      </font>
      <border>
        <bottom style="thin">
          <color rgb="FF4F81BD"/>
        </bottom>
        <vertical/>
        <horizontal/>
      </border>
    </dxf>
    <dxf>
      <font>
        <color theme="1"/>
      </font>
      <border>
        <left style="thin">
          <color rgb="FF4F81BD"/>
        </left>
        <right style="thin">
          <color rgb="FF4F81BD"/>
        </right>
        <top style="thin">
          <color rgb="FF4F81BD"/>
        </top>
        <bottom style="thin">
          <color rgb="FF4F81BD"/>
        </bottom>
        <vertical/>
        <horizontal/>
      </border>
    </dxf>
    <dxf>
      <font>
        <b/>
        <color theme="1"/>
      </font>
      <border>
        <bottom style="thin">
          <color rgb="FF4F81BD"/>
        </bottom>
        <vertical/>
        <horizontal/>
      </border>
    </dxf>
    <dxf>
      <font>
        <color theme="1"/>
      </font>
      <border>
        <left style="thin">
          <color rgb="FF4F81BD"/>
        </left>
        <right style="thin">
          <color rgb="FF4F81BD"/>
        </right>
        <top style="thin">
          <color rgb="FF4F81BD"/>
        </top>
        <bottom style="thin">
          <color rgb="FF4F81BD"/>
        </bottom>
        <vertical/>
        <horizontal/>
      </border>
    </dxf>
    <dxf>
      <font>
        <b/>
        <color theme="1"/>
      </font>
      <border>
        <bottom style="thin">
          <color rgb="FF4F81BD"/>
        </bottom>
        <vertical/>
        <horizontal/>
      </border>
    </dxf>
    <dxf>
      <font>
        <color theme="1"/>
      </font>
      <border>
        <left style="thin">
          <color rgb="FF4F81BD"/>
        </left>
        <right style="thin">
          <color rgb="FF4F81BD"/>
        </right>
        <top style="thin">
          <color rgb="FF4F81BD"/>
        </top>
        <bottom style="thin">
          <color rgb="FF4F81BD"/>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5" defaultTableStyle="TableStyleMedium2" defaultPivotStyle="PivotStyleLight16">
    <tableStyle name="Slicer Style 1" pivot="0" table="0" count="1" xr9:uid="{25BABDA2-DB3D-41F6-98D0-3EE7CBB0176F}">
      <tableStyleElement type="wholeTable" dxfId="23"/>
    </tableStyle>
    <tableStyle name="SlicerStyleOther2 2" pivot="0" table="0" count="10" xr9:uid="{6A38C275-1DC8-4F1C-A75E-2D74C037D462}">
      <tableStyleElement type="wholeTable" dxfId="22"/>
      <tableStyleElement type="headerRow" dxfId="21"/>
    </tableStyle>
    <tableStyle name="SlicerStyleOther2 3" pivot="0" table="0" count="10" xr9:uid="{B328711F-23AC-43EC-A638-B5671C0BA598}">
      <tableStyleElement type="wholeTable" dxfId="20"/>
      <tableStyleElement type="headerRow" dxfId="19"/>
    </tableStyle>
    <tableStyle name="SlicerStyleOther2 4" pivot="0" table="0" count="10" xr9:uid="{BC829251-276A-47B1-8241-FF611A4A2831}">
      <tableStyleElement type="wholeTable" dxfId="18"/>
      <tableStyleElement type="headerRow" dxfId="17"/>
    </tableStyle>
    <tableStyle name="SlicerStyleOther2 5" pivot="0" table="0" count="10" xr9:uid="{896471F7-A575-4F9C-A1C5-AFA983FD537E}">
      <tableStyleElement type="wholeTable" dxfId="16"/>
      <tableStyleElement type="headerRow" dxfId="15"/>
    </tableStyle>
  </tableStyles>
  <extLst>
    <ext xmlns:x14="http://schemas.microsoft.com/office/spreadsheetml/2009/9/main" uri="{46F421CA-312F-682f-3DD2-61675219B42D}">
      <x14:dxfs count="32">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b/>
            <i val="0"/>
            <sz val="14"/>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b/>
            <i val="0"/>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b/>
            <i val="0"/>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patternFill patternType="solid">
              <fgColor auto="1"/>
              <bgColor theme="0" tint="-0.1499679555650502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Other2 5">
        <x14:slicerStyle name="SlicerStyleOther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Other2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2 4">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5">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Types" Target="richData/rdRichValueTypes.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Data.xlsx]Pivots!Weekly trend</c:name>
    <c:fmtId val="15"/>
  </c:pivotSource>
  <c:chart>
    <c:autoTitleDeleted val="1"/>
    <c:pivotFmts>
      <c:pivotFmt>
        <c:idx val="0"/>
        <c:spPr>
          <a:solidFill>
            <a:srgbClr val="002060"/>
          </a:solidFill>
          <a:ln w="25400">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w="25400">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60000"/>
                  <a:lumOff val="40000"/>
                  <a:alpha val="50000"/>
                </a:schemeClr>
              </a:gs>
              <a:gs pos="100000">
                <a:srgbClr val="002060"/>
              </a:gs>
            </a:gsLst>
            <a:lin ang="18000000" scaled="0"/>
          </a:gradFill>
          <a:ln w="508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Pivots!$B$25</c:f>
              <c:strCache>
                <c:ptCount val="1"/>
                <c:pt idx="0">
                  <c:v>Total</c:v>
                </c:pt>
              </c:strCache>
            </c:strRef>
          </c:tx>
          <c:spPr>
            <a:gradFill>
              <a:gsLst>
                <a:gs pos="0">
                  <a:schemeClr val="accent6">
                    <a:lumMod val="60000"/>
                    <a:lumOff val="40000"/>
                    <a:alpha val="50000"/>
                  </a:schemeClr>
                </a:gs>
                <a:gs pos="100000">
                  <a:srgbClr val="002060"/>
                </a:gs>
              </a:gsLst>
              <a:lin ang="18000000" scaled="0"/>
            </a:gradFill>
            <a:ln w="508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Pivots!$A$26:$A$33</c:f>
              <c:strCache>
                <c:ptCount val="7"/>
                <c:pt idx="0">
                  <c:v>Sunday</c:v>
                </c:pt>
                <c:pt idx="1">
                  <c:v>Monday</c:v>
                </c:pt>
                <c:pt idx="2">
                  <c:v>Tuesday</c:v>
                </c:pt>
                <c:pt idx="3">
                  <c:v>Wednesday</c:v>
                </c:pt>
                <c:pt idx="4">
                  <c:v>Thursday</c:v>
                </c:pt>
                <c:pt idx="5">
                  <c:v>Friday</c:v>
                </c:pt>
                <c:pt idx="6">
                  <c:v>Saturday</c:v>
                </c:pt>
              </c:strCache>
            </c:strRef>
          </c:cat>
          <c:val>
            <c:numRef>
              <c:f>Pivots!$B$26:$B$33</c:f>
              <c:numCache>
                <c:formatCode>#,##0</c:formatCode>
                <c:ptCount val="7"/>
                <c:pt idx="0">
                  <c:v>146</c:v>
                </c:pt>
                <c:pt idx="1">
                  <c:v>133</c:v>
                </c:pt>
                <c:pt idx="2">
                  <c:v>138</c:v>
                </c:pt>
                <c:pt idx="3">
                  <c:v>153</c:v>
                </c:pt>
                <c:pt idx="4">
                  <c:v>128</c:v>
                </c:pt>
                <c:pt idx="5">
                  <c:v>141</c:v>
                </c:pt>
                <c:pt idx="6">
                  <c:v>161</c:v>
                </c:pt>
              </c:numCache>
            </c:numRef>
          </c:val>
          <c:extLst>
            <c:ext xmlns:c16="http://schemas.microsoft.com/office/drawing/2014/chart" uri="{C3380CC4-5D6E-409C-BE32-E72D297353CC}">
              <c16:uniqueId val="{00000000-5E7F-48EA-93BD-B2F98DF2D11E}"/>
            </c:ext>
          </c:extLst>
        </c:ser>
        <c:dLbls>
          <c:dLblPos val="outEnd"/>
          <c:showLegendKey val="0"/>
          <c:showVal val="1"/>
          <c:showCatName val="0"/>
          <c:showSerName val="0"/>
          <c:showPercent val="0"/>
          <c:showBubbleSize val="0"/>
        </c:dLbls>
        <c:gapWidth val="50"/>
        <c:axId val="437285080"/>
        <c:axId val="437286720"/>
      </c:barChart>
      <c:catAx>
        <c:axId val="43728508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286720"/>
        <c:crosses val="autoZero"/>
        <c:auto val="1"/>
        <c:lblAlgn val="ctr"/>
        <c:lblOffset val="100"/>
        <c:noMultiLvlLbl val="0"/>
      </c:catAx>
      <c:valAx>
        <c:axId val="437286720"/>
        <c:scaling>
          <c:orientation val="minMax"/>
        </c:scaling>
        <c:delete val="1"/>
        <c:axPos val="t"/>
        <c:numFmt formatCode="#,##0" sourceLinked="1"/>
        <c:majorTickMark val="none"/>
        <c:minorTickMark val="none"/>
        <c:tickLblPos val="nextTo"/>
        <c:crossAx val="437285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Data.xlsx]Pivots!Monthly Trend</c:name>
    <c:fmtId val="10"/>
  </c:pivotSource>
  <c:chart>
    <c:title>
      <c:tx>
        <c:rich>
          <a:bodyPr/>
          <a:lstStyle/>
          <a:p>
            <a:pPr algn="l">
              <a:defRPr/>
            </a:pPr>
            <a:r>
              <a:rPr lang="en-IN"/>
              <a:t>CALL</a:t>
            </a:r>
            <a:r>
              <a:rPr lang="en-IN" baseline="0"/>
              <a:t> TREND</a:t>
            </a:r>
            <a:endParaRPr lang="en-IN"/>
          </a:p>
        </c:rich>
      </c:tx>
      <c:layout>
        <c:manualLayout>
          <c:xMode val="edge"/>
          <c:yMode val="edge"/>
          <c:x val="4.7427144660346247E-2"/>
          <c:y val="4.488449311447136E-2"/>
        </c:manualLayout>
      </c:layout>
      <c:overlay val="0"/>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ln w="28575" cap="rnd">
            <a:solidFill>
              <a:srgbClr val="002060"/>
            </a:solidFill>
            <a:round/>
          </a:ln>
          <a:effectLst/>
        </c:spPr>
        <c:marker>
          <c:symbol val="circle"/>
          <c:size val="5"/>
          <c:spPr>
            <a:solidFill>
              <a:schemeClr val="bg1">
                <a:alpha val="50000"/>
              </a:schemeClr>
            </a:solidFill>
            <a:ln w="25400">
              <a:solidFill>
                <a:srgbClr val="002060">
                  <a:alpha val="50000"/>
                </a:srgbClr>
              </a:solidFill>
            </a:ln>
            <a:effectLst/>
          </c:spPr>
        </c:marker>
        <c:dLbl>
          <c:idx val="0"/>
          <c:delete val="1"/>
          <c:extLst>
            <c:ext xmlns:c15="http://schemas.microsoft.com/office/drawing/2012/chart" uri="{CE6537A1-D6FC-4f65-9D91-7224C49458BB}"/>
          </c:extLst>
        </c:dLbl>
      </c:pivotFmt>
      <c:pivotFmt>
        <c:idx val="4"/>
        <c:spPr>
          <a:gradFill>
            <a:gsLst>
              <a:gs pos="100000">
                <a:srgbClr val="002060">
                  <a:alpha val="50000"/>
                </a:srgbClr>
              </a:gs>
              <a:gs pos="0">
                <a:schemeClr val="bg1"/>
              </a:gs>
              <a:gs pos="100000">
                <a:schemeClr val="accent1">
                  <a:lumMod val="30000"/>
                  <a:lumOff val="70000"/>
                </a:schemeClr>
              </a:gs>
            </a:gsLst>
            <a:lin ang="16200000" scaled="0"/>
          </a:gradFill>
          <a:ln w="25400">
            <a:solidFill>
              <a:schemeClr val="tx1">
                <a:lumMod val="15000"/>
                <a:lumOff val="85000"/>
              </a:schemeClr>
            </a:solidFill>
          </a:ln>
        </c:spPr>
        <c:marker>
          <c:symbol val="none"/>
        </c:marker>
        <c:dLbl>
          <c:idx val="0"/>
          <c:delete val="1"/>
          <c:extLst>
            <c:ext xmlns:c15="http://schemas.microsoft.com/office/drawing/2012/chart" uri="{CE6537A1-D6FC-4f65-9D91-7224C49458BB}"/>
          </c:extLst>
        </c:dLbl>
      </c:pivotFmt>
      <c:pivotFmt>
        <c:idx val="5"/>
        <c:spPr>
          <a:gradFill>
            <a:gsLst>
              <a:gs pos="100000">
                <a:srgbClr val="002060">
                  <a:alpha val="50000"/>
                </a:srgbClr>
              </a:gs>
              <a:gs pos="0">
                <a:schemeClr val="bg1"/>
              </a:gs>
              <a:gs pos="100000">
                <a:schemeClr val="accent1">
                  <a:lumMod val="30000"/>
                  <a:lumOff val="70000"/>
                </a:schemeClr>
              </a:gs>
            </a:gsLst>
            <a:lin ang="16200000" scaled="0"/>
          </a:gradFill>
          <a:ln w="25400">
            <a:solidFill>
              <a:schemeClr val="tx1">
                <a:lumMod val="15000"/>
                <a:lumOff val="85000"/>
              </a:schemeClr>
            </a:solidFill>
          </a:ln>
        </c:spPr>
        <c:marker>
          <c:symbol val="none"/>
        </c:marker>
        <c:dLbl>
          <c:idx val="0"/>
          <c:delete val="1"/>
          <c:extLst>
            <c:ext xmlns:c15="http://schemas.microsoft.com/office/drawing/2012/chart" uri="{CE6537A1-D6FC-4f65-9D91-7224C49458BB}"/>
          </c:extLst>
        </c:dLbl>
      </c:pivotFmt>
      <c:pivotFmt>
        <c:idx val="6"/>
        <c:spPr>
          <a:ln w="28575" cap="rnd">
            <a:solidFill>
              <a:srgbClr val="002060"/>
            </a:solidFill>
            <a:round/>
          </a:ln>
          <a:effectLst/>
        </c:spPr>
        <c:marker>
          <c:symbol val="circle"/>
          <c:size val="5"/>
          <c:spPr>
            <a:solidFill>
              <a:schemeClr val="bg1">
                <a:alpha val="50000"/>
              </a:schemeClr>
            </a:solidFill>
            <a:ln w="25400">
              <a:solidFill>
                <a:srgbClr val="002060">
                  <a:alpha val="50000"/>
                </a:srgbClr>
              </a:solidFill>
            </a:ln>
            <a:effectLst/>
          </c:spPr>
        </c:marker>
        <c:dLbl>
          <c:idx val="0"/>
          <c:delete val="1"/>
          <c:extLst>
            <c:ext xmlns:c15="http://schemas.microsoft.com/office/drawing/2012/chart" uri="{CE6537A1-D6FC-4f65-9D91-7224C49458BB}"/>
          </c:extLst>
        </c:dLbl>
      </c:pivotFmt>
      <c:pivotFmt>
        <c:idx val="7"/>
        <c:spPr>
          <a:gradFill>
            <a:gsLst>
              <a:gs pos="100000">
                <a:srgbClr val="002060">
                  <a:alpha val="50000"/>
                </a:srgbClr>
              </a:gs>
              <a:gs pos="0">
                <a:schemeClr val="bg1"/>
              </a:gs>
              <a:gs pos="100000">
                <a:schemeClr val="accent1">
                  <a:lumMod val="30000"/>
                  <a:lumOff val="70000"/>
                </a:schemeClr>
              </a:gs>
            </a:gsLst>
            <a:lin ang="16200000" scaled="0"/>
          </a:gradFill>
          <a:ln w="25400">
            <a:solidFill>
              <a:schemeClr val="tx1">
                <a:lumMod val="15000"/>
                <a:lumOff val="85000"/>
              </a:schemeClr>
            </a:solidFill>
          </a:ln>
        </c:spPr>
        <c:marker>
          <c:symbol val="none"/>
        </c:marker>
        <c:dLbl>
          <c:idx val="0"/>
          <c:delete val="1"/>
          <c:extLst>
            <c:ext xmlns:c15="http://schemas.microsoft.com/office/drawing/2012/chart" uri="{CE6537A1-D6FC-4f65-9D91-7224C49458BB}"/>
          </c:extLst>
        </c:dLbl>
      </c:pivotFmt>
      <c:pivotFmt>
        <c:idx val="8"/>
        <c:spPr>
          <a:ln w="28575" cap="rnd">
            <a:solidFill>
              <a:srgbClr val="002060"/>
            </a:solidFill>
            <a:round/>
          </a:ln>
          <a:effectLst/>
        </c:spPr>
        <c:marker>
          <c:symbol val="circle"/>
          <c:size val="5"/>
          <c:spPr>
            <a:solidFill>
              <a:schemeClr val="bg1">
                <a:alpha val="50000"/>
              </a:schemeClr>
            </a:solidFill>
            <a:ln w="25400">
              <a:solidFill>
                <a:srgbClr val="002060">
                  <a:alpha val="50000"/>
                </a:srgbClr>
              </a:solidFill>
            </a:ln>
            <a:effectLst/>
          </c:spPr>
        </c:marker>
        <c:dLbl>
          <c:idx val="0"/>
          <c:delete val="1"/>
          <c:extLst>
            <c:ext xmlns:c15="http://schemas.microsoft.com/office/drawing/2012/chart" uri="{CE6537A1-D6FC-4f65-9D91-7224C49458BB}"/>
          </c:extLst>
        </c:dLbl>
      </c:pivotFmt>
    </c:pivotFmts>
    <c:plotArea>
      <c:layout/>
      <c:areaChart>
        <c:grouping val="standard"/>
        <c:varyColors val="0"/>
        <c:ser>
          <c:idx val="1"/>
          <c:order val="1"/>
          <c:tx>
            <c:strRef>
              <c:f>Pivots!$C$10</c:f>
              <c:strCache>
                <c:ptCount val="1"/>
                <c:pt idx="0">
                  <c:v>Count of Call number2</c:v>
                </c:pt>
              </c:strCache>
            </c:strRef>
          </c:tx>
          <c:spPr>
            <a:gradFill>
              <a:gsLst>
                <a:gs pos="100000">
                  <a:srgbClr val="002060">
                    <a:alpha val="50000"/>
                  </a:srgbClr>
                </a:gs>
                <a:gs pos="0">
                  <a:schemeClr val="bg1"/>
                </a:gs>
                <a:gs pos="100000">
                  <a:schemeClr val="accent1">
                    <a:lumMod val="30000"/>
                    <a:lumOff val="70000"/>
                  </a:schemeClr>
                </a:gs>
              </a:gsLst>
              <a:lin ang="16200000" scaled="0"/>
            </a:gradFill>
            <a:ln w="25400">
              <a:solidFill>
                <a:schemeClr val="tx1">
                  <a:lumMod val="15000"/>
                  <a:lumOff val="85000"/>
                </a:schemeClr>
              </a:solidFill>
            </a:ln>
          </c:spPr>
          <c:cat>
            <c:strRef>
              <c:f>Pivots!$A$11:$A$23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Pivots!$C$11:$C$23</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B05F-4EB5-B65B-84B36468D509}"/>
            </c:ext>
          </c:extLst>
        </c:ser>
        <c:dLbls>
          <c:showLegendKey val="0"/>
          <c:showVal val="0"/>
          <c:showCatName val="0"/>
          <c:showSerName val="0"/>
          <c:showPercent val="0"/>
          <c:showBubbleSize val="0"/>
        </c:dLbls>
        <c:axId val="523747680"/>
        <c:axId val="523747352"/>
      </c:areaChart>
      <c:lineChart>
        <c:grouping val="standard"/>
        <c:varyColors val="0"/>
        <c:ser>
          <c:idx val="0"/>
          <c:order val="0"/>
          <c:tx>
            <c:strRef>
              <c:f>Pivots!$B$10</c:f>
              <c:strCache>
                <c:ptCount val="1"/>
                <c:pt idx="0">
                  <c:v>Count of Call number</c:v>
                </c:pt>
              </c:strCache>
            </c:strRef>
          </c:tx>
          <c:spPr>
            <a:ln w="28575" cap="rnd">
              <a:solidFill>
                <a:srgbClr val="002060"/>
              </a:solidFill>
              <a:round/>
            </a:ln>
            <a:effectLst/>
          </c:spPr>
          <c:marker>
            <c:symbol val="circle"/>
            <c:size val="5"/>
            <c:spPr>
              <a:solidFill>
                <a:schemeClr val="bg1">
                  <a:alpha val="50000"/>
                </a:schemeClr>
              </a:solidFill>
              <a:ln w="25400">
                <a:solidFill>
                  <a:srgbClr val="002060">
                    <a:alpha val="50000"/>
                  </a:srgbClr>
                </a:solidFill>
              </a:ln>
              <a:effectLst/>
            </c:spPr>
          </c:marker>
          <c:cat>
            <c:strRef>
              <c:f>Pivots!$A$11:$A$23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Pivots!$B$11:$B$23</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B05F-4EB5-B65B-84B36468D509}"/>
            </c:ext>
          </c:extLst>
        </c:ser>
        <c:dLbls>
          <c:showLegendKey val="0"/>
          <c:showVal val="0"/>
          <c:showCatName val="0"/>
          <c:showSerName val="0"/>
          <c:showPercent val="0"/>
          <c:showBubbleSize val="0"/>
        </c:dLbls>
        <c:marker val="1"/>
        <c:smooth val="0"/>
        <c:axId val="523747680"/>
        <c:axId val="523747352"/>
      </c:lineChart>
      <c:catAx>
        <c:axId val="523747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747352"/>
        <c:crosses val="autoZero"/>
        <c:auto val="1"/>
        <c:lblAlgn val="ctr"/>
        <c:lblOffset val="100"/>
        <c:noMultiLvlLbl val="0"/>
      </c:catAx>
      <c:valAx>
        <c:axId val="5237473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747680"/>
        <c:crosses val="autoZero"/>
        <c:crossBetween val="between"/>
      </c:valAx>
    </c:plotArea>
    <c:plotVisOnly val="1"/>
    <c:dispBlanksAs val="gap"/>
    <c:showDLblsOverMax val="0"/>
    <c:extLst/>
  </c:chart>
  <c:spPr>
    <a:gradFill>
      <a:gsLst>
        <a:gs pos="95000">
          <a:schemeClr val="bg1"/>
        </a:gs>
        <a:gs pos="0">
          <a:schemeClr val="bg1"/>
        </a:gs>
        <a:gs pos="100000">
          <a:schemeClr val="accent1">
            <a:lumMod val="30000"/>
            <a:lumOff val="70000"/>
          </a:schemeClr>
        </a:gs>
      </a:gsLst>
      <a:lin ang="16200000" scaled="0"/>
    </a:grad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b="1">
                <a:solidFill>
                  <a:srgbClr val="002060"/>
                </a:solidFill>
              </a:rPr>
              <a:t>Calls</a:t>
            </a:r>
          </a:p>
        </c:rich>
      </c:tx>
      <c:layout>
        <c:manualLayout>
          <c:xMode val="edge"/>
          <c:yMode val="edge"/>
          <c:x val="4.5707417944787221E-2"/>
          <c:y val="3.4130128505308645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Pivots!$F$39:$F$43</c:f>
              <c:strCache>
                <c:ptCount val="5"/>
                <c:pt idx="0">
                  <c:v>R01</c:v>
                </c:pt>
                <c:pt idx="1">
                  <c:v>R02</c:v>
                </c:pt>
                <c:pt idx="2">
                  <c:v>R03</c:v>
                </c:pt>
                <c:pt idx="3">
                  <c:v>R04</c:v>
                </c:pt>
                <c:pt idx="4">
                  <c:v>R05</c:v>
                </c:pt>
              </c:strCache>
            </c:strRef>
          </c:cat>
          <c:val>
            <c:numRef>
              <c:f>Pivots!$G$39:$G$43</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47F8-45F9-8013-0FFA0490E793}"/>
            </c:ext>
          </c:extLst>
        </c:ser>
        <c:ser>
          <c:idx val="1"/>
          <c:order val="1"/>
          <c:tx>
            <c:strRef>
              <c:f>Pivots!$I$38</c:f>
              <c:strCache>
                <c:ptCount val="1"/>
                <c:pt idx="0">
                  <c:v>Sel. Calls</c:v>
                </c:pt>
              </c:strCache>
            </c:strRef>
          </c:tx>
          <c:spPr>
            <a:gradFill>
              <a:gsLst>
                <a:gs pos="100000">
                  <a:srgbClr val="002060"/>
                </a:gs>
                <a:gs pos="0">
                  <a:schemeClr val="bg1"/>
                </a:gs>
                <a:gs pos="100000">
                  <a:schemeClr val="accent1">
                    <a:lumMod val="30000"/>
                    <a:lumOff val="70000"/>
                  </a:schemeClr>
                </a:gs>
              </a:gsLst>
              <a:lin ang="180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Pivots!$I$39:$I$43</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47F8-45F9-8013-0FFA0490E793}"/>
            </c:ext>
          </c:extLst>
        </c:ser>
        <c:dLbls>
          <c:dLblPos val="outEnd"/>
          <c:showLegendKey val="0"/>
          <c:showVal val="1"/>
          <c:showCatName val="0"/>
          <c:showSerName val="0"/>
          <c:showPercent val="0"/>
          <c:showBubbleSize val="0"/>
        </c:dLbls>
        <c:gapWidth val="25"/>
        <c:overlap val="100"/>
        <c:axId val="657470752"/>
        <c:axId val="657467472"/>
      </c:barChart>
      <c:catAx>
        <c:axId val="65747075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467472"/>
        <c:crosses val="autoZero"/>
        <c:auto val="1"/>
        <c:lblAlgn val="ctr"/>
        <c:lblOffset val="100"/>
        <c:noMultiLvlLbl val="0"/>
      </c:catAx>
      <c:valAx>
        <c:axId val="657467472"/>
        <c:scaling>
          <c:orientation val="minMax"/>
          <c:min val="0"/>
        </c:scaling>
        <c:delete val="1"/>
        <c:axPos val="t"/>
        <c:numFmt formatCode="#,##0" sourceLinked="1"/>
        <c:majorTickMark val="out"/>
        <c:minorTickMark val="none"/>
        <c:tickLblPos val="nextTo"/>
        <c:crossAx val="657470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b="1"/>
              <a:t>Amount</a:t>
            </a:r>
          </a:p>
        </c:rich>
      </c:tx>
      <c:layout>
        <c:manualLayout>
          <c:xMode val="edge"/>
          <c:yMode val="edge"/>
          <c:x val="2.5524690156358189E-2"/>
          <c:y val="3.4130117040099189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Pivots!$F$39:$F$43</c:f>
              <c:strCache>
                <c:ptCount val="5"/>
                <c:pt idx="0">
                  <c:v>R01</c:v>
                </c:pt>
                <c:pt idx="1">
                  <c:v>R02</c:v>
                </c:pt>
                <c:pt idx="2">
                  <c:v>R03</c:v>
                </c:pt>
                <c:pt idx="3">
                  <c:v>R04</c:v>
                </c:pt>
                <c:pt idx="4">
                  <c:v>R05</c:v>
                </c:pt>
              </c:strCache>
            </c:strRef>
          </c:cat>
          <c:val>
            <c:numRef>
              <c:f>Pivots!$H$39:$H$43</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4B3A-4A09-B26B-0AC68BFCBC48}"/>
            </c:ext>
          </c:extLst>
        </c:ser>
        <c:ser>
          <c:idx val="1"/>
          <c:order val="1"/>
          <c:tx>
            <c:strRef>
              <c:f>Pivots!$J$38</c:f>
              <c:strCache>
                <c:ptCount val="1"/>
                <c:pt idx="0">
                  <c:v>Sel. Amount</c:v>
                </c:pt>
              </c:strCache>
            </c:strRef>
          </c:tx>
          <c:spPr>
            <a:gradFill>
              <a:gsLst>
                <a:gs pos="100000">
                  <a:srgbClr val="0070C0"/>
                </a:gs>
                <a:gs pos="0">
                  <a:schemeClr val="accent6">
                    <a:lumMod val="20000"/>
                    <a:lumOff val="80000"/>
                  </a:schemeClr>
                </a:gs>
                <a:gs pos="100000">
                  <a:srgbClr val="002060"/>
                </a:gs>
              </a:gsLst>
              <a:lin ang="18000000" scaled="0"/>
            </a:gradFill>
            <a:ln>
              <a:noFill/>
            </a:ln>
            <a:effectLst/>
          </c:spPr>
          <c:invertIfNegative val="0"/>
          <c:dLbls>
            <c:delete val="1"/>
          </c:dLbls>
          <c:val>
            <c:numRef>
              <c:f>Pivots!$J$39:$J$43</c:f>
              <c:numCache>
                <c:formatCode>[$$-409]#,##0</c:formatCode>
                <c:ptCount val="5"/>
                <c:pt idx="0">
                  <c:v>18415</c:v>
                </c:pt>
                <c:pt idx="1">
                  <c:v>#N/A</c:v>
                </c:pt>
                <c:pt idx="2">
                  <c:v>#N/A</c:v>
                </c:pt>
                <c:pt idx="3">
                  <c:v>#N/A</c:v>
                </c:pt>
                <c:pt idx="4">
                  <c:v>#N/A</c:v>
                </c:pt>
              </c:numCache>
            </c:numRef>
          </c:val>
          <c:extLst>
            <c:ext xmlns:c16="http://schemas.microsoft.com/office/drawing/2014/chart" uri="{C3380CC4-5D6E-409C-BE32-E72D297353CC}">
              <c16:uniqueId val="{00000001-4B3A-4A09-B26B-0AC68BFCBC48}"/>
            </c:ext>
          </c:extLst>
        </c:ser>
        <c:dLbls>
          <c:dLblPos val="outEnd"/>
          <c:showLegendKey val="0"/>
          <c:showVal val="1"/>
          <c:showCatName val="0"/>
          <c:showSerName val="0"/>
          <c:showPercent val="0"/>
          <c:showBubbleSize val="0"/>
        </c:dLbls>
        <c:gapWidth val="25"/>
        <c:overlap val="100"/>
        <c:axId val="657470752"/>
        <c:axId val="657467472"/>
      </c:barChart>
      <c:catAx>
        <c:axId val="657470752"/>
        <c:scaling>
          <c:orientation val="maxMin"/>
        </c:scaling>
        <c:delete val="1"/>
        <c:axPos val="l"/>
        <c:numFmt formatCode="General" sourceLinked="1"/>
        <c:majorTickMark val="out"/>
        <c:minorTickMark val="none"/>
        <c:tickLblPos val="nextTo"/>
        <c:crossAx val="657467472"/>
        <c:crosses val="autoZero"/>
        <c:auto val="1"/>
        <c:lblAlgn val="ctr"/>
        <c:lblOffset val="100"/>
        <c:noMultiLvlLbl val="0"/>
      </c:catAx>
      <c:valAx>
        <c:axId val="657467472"/>
        <c:scaling>
          <c:orientation val="minMax"/>
          <c:min val="0"/>
        </c:scaling>
        <c:delete val="1"/>
        <c:axPos val="t"/>
        <c:numFmt formatCode="\$#,###.0,&quot;k&quot;" sourceLinked="1"/>
        <c:majorTickMark val="out"/>
        <c:minorTickMark val="none"/>
        <c:tickLblPos val="nextTo"/>
        <c:crossAx val="657470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alpha val="93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Data.xlsx]Pivots!Male and Female</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accent6">
                    <a:lumMod val="75000"/>
                  </a:schemeClr>
                </a:solidFill>
              </a:rPr>
              <a:t>Male</a:t>
            </a:r>
            <a:r>
              <a:rPr lang="en-IN" sz="1400" b="1" baseline="0"/>
              <a:t> and </a:t>
            </a:r>
            <a:r>
              <a:rPr lang="en-IN" sz="1400" b="1" baseline="0">
                <a:solidFill>
                  <a:schemeClr val="accent6">
                    <a:lumMod val="50000"/>
                  </a:schemeClr>
                </a:solidFill>
              </a:rPr>
              <a:t>Female</a:t>
            </a:r>
            <a:r>
              <a:rPr lang="en-IN" sz="1400" b="1" baseline="0"/>
              <a:t> Callers</a:t>
            </a:r>
            <a:endParaRPr lang="en-IN"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spPr>
            <a:solidFill>
              <a:schemeClr val="bg1">
                <a:lumMod val="95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solidFill>
              <a:schemeClr val="bg1">
                <a:lumMod val="85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Pivots!$B$57:$B$58</c:f>
              <c:strCache>
                <c:ptCount val="1"/>
                <c:pt idx="0">
                  <c:v>Female</c:v>
                </c:pt>
              </c:strCache>
            </c:strRef>
          </c:tx>
          <c:spPr>
            <a:solidFill>
              <a:schemeClr val="accent6">
                <a:lumMod val="50000"/>
              </a:schemeClr>
            </a:solidFill>
            <a:ln>
              <a:noFill/>
            </a:ln>
            <a:effectLst/>
          </c:spPr>
          <c:invertIfNegative val="0"/>
          <c:dLbls>
            <c:spPr>
              <a:solidFill>
                <a:schemeClr val="bg1">
                  <a:lumMod val="95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Pivots!$A$59:$A$62</c:f>
              <c:strCache>
                <c:ptCount val="3"/>
                <c:pt idx="0">
                  <c:v>Cincinnati</c:v>
                </c:pt>
                <c:pt idx="1">
                  <c:v>Cleveland</c:v>
                </c:pt>
                <c:pt idx="2">
                  <c:v>Columbus</c:v>
                </c:pt>
              </c:strCache>
            </c:strRef>
          </c:cat>
          <c:val>
            <c:numRef>
              <c:f>Pivots!$B$59:$B$62</c:f>
              <c:numCache>
                <c:formatCode>#,##0</c:formatCode>
                <c:ptCount val="3"/>
                <c:pt idx="0">
                  <c:v>144</c:v>
                </c:pt>
                <c:pt idx="1">
                  <c:v>326</c:v>
                </c:pt>
                <c:pt idx="2">
                  <c:v>129</c:v>
                </c:pt>
              </c:numCache>
            </c:numRef>
          </c:val>
          <c:extLst>
            <c:ext xmlns:c16="http://schemas.microsoft.com/office/drawing/2014/chart" uri="{C3380CC4-5D6E-409C-BE32-E72D297353CC}">
              <c16:uniqueId val="{00000000-2E12-4B15-9EF2-FDFAE609F475}"/>
            </c:ext>
          </c:extLst>
        </c:ser>
        <c:ser>
          <c:idx val="1"/>
          <c:order val="1"/>
          <c:tx>
            <c:strRef>
              <c:f>Pivots!$C$57:$C$58</c:f>
              <c:strCache>
                <c:ptCount val="1"/>
                <c:pt idx="0">
                  <c:v>Male</c:v>
                </c:pt>
              </c:strCache>
            </c:strRef>
          </c:tx>
          <c:spPr>
            <a:solidFill>
              <a:schemeClr val="accent6">
                <a:lumMod val="75000"/>
              </a:schemeClr>
            </a:solidFill>
            <a:ln>
              <a:noFill/>
            </a:ln>
            <a:effectLst/>
          </c:spPr>
          <c:invertIfNegative val="0"/>
          <c:dLbls>
            <c:spPr>
              <a:solidFill>
                <a:schemeClr val="bg1">
                  <a:lumMod val="85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Pivots!$A$59:$A$62</c:f>
              <c:strCache>
                <c:ptCount val="3"/>
                <c:pt idx="0">
                  <c:v>Cincinnati</c:v>
                </c:pt>
                <c:pt idx="1">
                  <c:v>Cleveland</c:v>
                </c:pt>
                <c:pt idx="2">
                  <c:v>Columbus</c:v>
                </c:pt>
              </c:strCache>
            </c:strRef>
          </c:cat>
          <c:val>
            <c:numRef>
              <c:f>Pivots!$C$59:$C$62</c:f>
              <c:numCache>
                <c:formatCode>#,##0</c:formatCode>
                <c:ptCount val="3"/>
                <c:pt idx="0">
                  <c:v>132</c:v>
                </c:pt>
                <c:pt idx="1">
                  <c:v>63</c:v>
                </c:pt>
                <c:pt idx="2">
                  <c:v>206</c:v>
                </c:pt>
              </c:numCache>
            </c:numRef>
          </c:val>
          <c:extLst>
            <c:ext xmlns:c16="http://schemas.microsoft.com/office/drawing/2014/chart" uri="{C3380CC4-5D6E-409C-BE32-E72D297353CC}">
              <c16:uniqueId val="{00000001-2E12-4B15-9EF2-FDFAE609F475}"/>
            </c:ext>
          </c:extLst>
        </c:ser>
        <c:dLbls>
          <c:showLegendKey val="0"/>
          <c:showVal val="1"/>
          <c:showCatName val="0"/>
          <c:showSerName val="0"/>
          <c:showPercent val="0"/>
          <c:showBubbleSize val="0"/>
        </c:dLbls>
        <c:gapWidth val="150"/>
        <c:overlap val="100"/>
        <c:axId val="662975528"/>
        <c:axId val="662972576"/>
      </c:barChart>
      <c:catAx>
        <c:axId val="662975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972576"/>
        <c:crosses val="autoZero"/>
        <c:auto val="1"/>
        <c:lblAlgn val="ctr"/>
        <c:lblOffset val="100"/>
        <c:noMultiLvlLbl val="0"/>
      </c:catAx>
      <c:valAx>
        <c:axId val="662972576"/>
        <c:scaling>
          <c:orientation val="minMax"/>
        </c:scaling>
        <c:delete val="1"/>
        <c:axPos val="l"/>
        <c:numFmt formatCode="0%" sourceLinked="1"/>
        <c:majorTickMark val="none"/>
        <c:minorTickMark val="none"/>
        <c:tickLblPos val="nextTo"/>
        <c:crossAx val="662975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Data.xlsx]Pivots!Rep Satisfaction</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6">
                    <a:lumMod val="50000"/>
                  </a:schemeClr>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Pivots!$B$65</c:f>
              <c:strCache>
                <c:ptCount val="1"/>
                <c:pt idx="0">
                  <c:v>Total</c:v>
                </c:pt>
              </c:strCache>
            </c:strRef>
          </c:tx>
          <c:spPr>
            <a:solidFill>
              <a:schemeClr val="accent6">
                <a:lumMod val="50000"/>
              </a:schemeClr>
            </a:solidFill>
            <a:ln>
              <a:noFill/>
            </a:ln>
            <a:effectLst/>
          </c:spPr>
          <c:invertIfNegative val="0"/>
          <c:cat>
            <c:strRef>
              <c:f>Pivots!$A$66:$A$72</c:f>
              <c:strCache>
                <c:ptCount val="6"/>
                <c:pt idx="0">
                  <c:v>0</c:v>
                </c:pt>
                <c:pt idx="1">
                  <c:v>1</c:v>
                </c:pt>
                <c:pt idx="2">
                  <c:v>2</c:v>
                </c:pt>
                <c:pt idx="3">
                  <c:v>3</c:v>
                </c:pt>
                <c:pt idx="4">
                  <c:v>4</c:v>
                </c:pt>
                <c:pt idx="5">
                  <c:v>5</c:v>
                </c:pt>
              </c:strCache>
            </c:strRef>
          </c:cat>
          <c:val>
            <c:numRef>
              <c:f>Pivots!$B$66:$B$72</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7AA3-4B79-9B66-EAB0B11C7F2A}"/>
            </c:ext>
          </c:extLst>
        </c:ser>
        <c:dLbls>
          <c:showLegendKey val="0"/>
          <c:showVal val="0"/>
          <c:showCatName val="0"/>
          <c:showSerName val="0"/>
          <c:showPercent val="0"/>
          <c:showBubbleSize val="0"/>
        </c:dLbls>
        <c:gapWidth val="10"/>
        <c:overlap val="-27"/>
        <c:axId val="252742760"/>
        <c:axId val="252745056"/>
      </c:barChart>
      <c:catAx>
        <c:axId val="252742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745056"/>
        <c:crosses val="autoZero"/>
        <c:auto val="1"/>
        <c:lblAlgn val="ctr"/>
        <c:lblOffset val="100"/>
        <c:noMultiLvlLbl val="0"/>
      </c:catAx>
      <c:valAx>
        <c:axId val="2527450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742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2.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5.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8</xdr:col>
      <xdr:colOff>666751</xdr:colOff>
      <xdr:row>3</xdr:row>
      <xdr:rowOff>-1</xdr:rowOff>
    </xdr:from>
    <xdr:to>
      <xdr:col>12</xdr:col>
      <xdr:colOff>457040</xdr:colOff>
      <xdr:row>14</xdr:row>
      <xdr:rowOff>144075</xdr:rowOff>
    </xdr:to>
    <xdr:graphicFrame macro="">
      <xdr:nvGraphicFramePr>
        <xdr:cNvPr id="24" name="Chart 23">
          <a:extLst>
            <a:ext uri="{FF2B5EF4-FFF2-40B4-BE49-F238E27FC236}">
              <a16:creationId xmlns:a16="http://schemas.microsoft.com/office/drawing/2014/main" id="{33117711-12B3-4E34-914F-B46738FCC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65634</xdr:colOff>
      <xdr:row>2</xdr:row>
      <xdr:rowOff>154483</xdr:rowOff>
    </xdr:from>
    <xdr:to>
      <xdr:col>3</xdr:col>
      <xdr:colOff>493058</xdr:colOff>
      <xdr:row>7</xdr:row>
      <xdr:rowOff>98452</xdr:rowOff>
    </xdr:to>
    <xdr:sp macro="" textlink="Pivots!A4">
      <xdr:nvSpPr>
        <xdr:cNvPr id="2" name="Rectangle 1">
          <a:extLst>
            <a:ext uri="{FF2B5EF4-FFF2-40B4-BE49-F238E27FC236}">
              <a16:creationId xmlns:a16="http://schemas.microsoft.com/office/drawing/2014/main" id="{7D93670F-9F7E-4E1D-BA5B-6F6A5A8E228D}"/>
            </a:ext>
          </a:extLst>
        </xdr:cNvPr>
        <xdr:cNvSpPr/>
      </xdr:nvSpPr>
      <xdr:spPr>
        <a:xfrm>
          <a:off x="215313" y="508269"/>
          <a:ext cx="1352709" cy="828433"/>
        </a:xfrm>
        <a:prstGeom prst="rect">
          <a:avLst/>
        </a:prstGeom>
        <a:solidFill>
          <a:srgbClr val="002060">
            <a:alpha val="50000"/>
          </a:srgb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2A5E860-2F55-4A96-A6FB-BD12C0051FCA}" type="TxLink">
            <a:rPr lang="en-US" sz="2400" b="0" i="0" u="none" strike="noStrike">
              <a:solidFill>
                <a:schemeClr val="bg1">
                  <a:lumMod val="75000"/>
                </a:schemeClr>
              </a:solidFill>
              <a:latin typeface="Aptos"/>
            </a:rPr>
            <a:pPr algn="ctr"/>
            <a:t>1,000</a:t>
          </a:fld>
          <a:endParaRPr lang="en-IN" sz="2400">
            <a:solidFill>
              <a:schemeClr val="bg1">
                <a:lumMod val="75000"/>
              </a:schemeClr>
            </a:solidFill>
          </a:endParaRPr>
        </a:p>
      </xdr:txBody>
    </xdr:sp>
    <xdr:clientData/>
  </xdr:twoCellAnchor>
  <xdr:twoCellAnchor>
    <xdr:from>
      <xdr:col>1</xdr:col>
      <xdr:colOff>144075</xdr:colOff>
      <xdr:row>2</xdr:row>
      <xdr:rowOff>143276</xdr:rowOff>
    </xdr:from>
    <xdr:to>
      <xdr:col>3</xdr:col>
      <xdr:colOff>437029</xdr:colOff>
      <xdr:row>4</xdr:row>
      <xdr:rowOff>78443</xdr:rowOff>
    </xdr:to>
    <xdr:sp macro="" textlink="">
      <xdr:nvSpPr>
        <xdr:cNvPr id="3" name="TextBox 2">
          <a:extLst>
            <a:ext uri="{FF2B5EF4-FFF2-40B4-BE49-F238E27FC236}">
              <a16:creationId xmlns:a16="http://schemas.microsoft.com/office/drawing/2014/main" id="{9A26B11C-B8CA-4C12-AFFD-1E2B72E1DCFE}"/>
            </a:ext>
          </a:extLst>
        </xdr:cNvPr>
        <xdr:cNvSpPr txBox="1"/>
      </xdr:nvSpPr>
      <xdr:spPr>
        <a:xfrm>
          <a:off x="293754" y="497062"/>
          <a:ext cx="1218239" cy="288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lumMod val="85000"/>
                </a:schemeClr>
              </a:solidFill>
            </a:rPr>
            <a:t>Calls</a:t>
          </a:r>
        </a:p>
      </xdr:txBody>
    </xdr:sp>
    <xdr:clientData/>
  </xdr:twoCellAnchor>
  <xdr:twoCellAnchor editAs="oneCell">
    <xdr:from>
      <xdr:col>1</xdr:col>
      <xdr:colOff>121663</xdr:colOff>
      <xdr:row>2</xdr:row>
      <xdr:rowOff>149010</xdr:rowOff>
    </xdr:from>
    <xdr:to>
      <xdr:col>2</xdr:col>
      <xdr:colOff>176873</xdr:colOff>
      <xdr:row>4</xdr:row>
      <xdr:rowOff>80823</xdr:rowOff>
    </xdr:to>
    <xdr:pic>
      <xdr:nvPicPr>
        <xdr:cNvPr id="4" name="Graphic 3" descr="Receiver with solid fill">
          <a:extLst>
            <a:ext uri="{FF2B5EF4-FFF2-40B4-BE49-F238E27FC236}">
              <a16:creationId xmlns:a16="http://schemas.microsoft.com/office/drawing/2014/main" id="{ABF5BC58-2FB5-420F-BF8A-85099B8655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1342" y="502796"/>
          <a:ext cx="300138" cy="285599"/>
        </a:xfrm>
        <a:prstGeom prst="rect">
          <a:avLst/>
        </a:prstGeom>
      </xdr:spPr>
    </xdr:pic>
    <xdr:clientData/>
  </xdr:twoCellAnchor>
  <xdr:twoCellAnchor>
    <xdr:from>
      <xdr:col>2</xdr:col>
      <xdr:colOff>0</xdr:colOff>
      <xdr:row>6</xdr:row>
      <xdr:rowOff>0</xdr:rowOff>
    </xdr:from>
    <xdr:to>
      <xdr:col>3</xdr:col>
      <xdr:colOff>369794</xdr:colOff>
      <xdr:row>7</xdr:row>
      <xdr:rowOff>98452</xdr:rowOff>
    </xdr:to>
    <xdr:sp macro="" textlink="Pivots!A8">
      <xdr:nvSpPr>
        <xdr:cNvPr id="5" name="TextBox 4">
          <a:extLst>
            <a:ext uri="{FF2B5EF4-FFF2-40B4-BE49-F238E27FC236}">
              <a16:creationId xmlns:a16="http://schemas.microsoft.com/office/drawing/2014/main" id="{8B7130EE-065B-4A4B-944C-B6E4E1D51424}"/>
            </a:ext>
          </a:extLst>
        </xdr:cNvPr>
        <xdr:cNvSpPr txBox="1"/>
      </xdr:nvSpPr>
      <xdr:spPr>
        <a:xfrm>
          <a:off x="394607" y="1061357"/>
          <a:ext cx="1050151" cy="275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F660A3A-28DC-4E4F-A884-2CAA17530205}" type="TxLink">
            <a:rPr lang="en-US" sz="1200" b="0" i="0" u="none" strike="noStrike">
              <a:solidFill>
                <a:schemeClr val="bg1">
                  <a:lumMod val="85000"/>
                </a:schemeClr>
              </a:solidFill>
              <a:latin typeface="Aptos"/>
            </a:rPr>
            <a:pPr algn="ctr"/>
            <a:t>1,000</a:t>
          </a:fld>
          <a:endParaRPr lang="en-IN" sz="1200">
            <a:solidFill>
              <a:schemeClr val="bg1">
                <a:lumMod val="85000"/>
              </a:schemeClr>
            </a:solidFill>
          </a:endParaRPr>
        </a:p>
      </xdr:txBody>
    </xdr:sp>
    <xdr:clientData/>
  </xdr:twoCellAnchor>
  <xdr:twoCellAnchor>
    <xdr:from>
      <xdr:col>1</xdr:col>
      <xdr:colOff>65634</xdr:colOff>
      <xdr:row>9</xdr:row>
      <xdr:rowOff>154482</xdr:rowOff>
    </xdr:from>
    <xdr:to>
      <xdr:col>3</xdr:col>
      <xdr:colOff>493058</xdr:colOff>
      <xdr:row>14</xdr:row>
      <xdr:rowOff>100852</xdr:rowOff>
    </xdr:to>
    <xdr:sp macro="" textlink="Pivots!B4">
      <xdr:nvSpPr>
        <xdr:cNvPr id="6" name="Rectangle 5">
          <a:extLst>
            <a:ext uri="{FF2B5EF4-FFF2-40B4-BE49-F238E27FC236}">
              <a16:creationId xmlns:a16="http://schemas.microsoft.com/office/drawing/2014/main" id="{6D210616-7203-4327-8BD3-514191DE3CDA}"/>
            </a:ext>
          </a:extLst>
        </xdr:cNvPr>
        <xdr:cNvSpPr/>
      </xdr:nvSpPr>
      <xdr:spPr>
        <a:xfrm>
          <a:off x="215313" y="1746518"/>
          <a:ext cx="1352709" cy="830834"/>
        </a:xfrm>
        <a:prstGeom prst="rect">
          <a:avLst/>
        </a:prstGeom>
        <a:solidFill>
          <a:srgbClr val="002060">
            <a:alpha val="50000"/>
          </a:srgb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2B59F6C-2827-4F4F-AB8E-0744BE50458A}" type="TxLink">
            <a:rPr lang="en-US" sz="2400" b="0" i="0" u="none" strike="noStrike">
              <a:solidFill>
                <a:schemeClr val="bg1">
                  <a:lumMod val="75000"/>
                </a:schemeClr>
              </a:solidFill>
              <a:latin typeface="Aptos"/>
              <a:ea typeface="+mn-ea"/>
              <a:cs typeface="+mn-cs"/>
            </a:rPr>
            <a:pPr marL="0" indent="0" algn="ctr"/>
            <a:t>$96,623</a:t>
          </a:fld>
          <a:endParaRPr lang="en-IN" sz="2400" b="0" i="0" u="none" strike="noStrike">
            <a:solidFill>
              <a:schemeClr val="bg1">
                <a:lumMod val="75000"/>
              </a:schemeClr>
            </a:solidFill>
            <a:latin typeface="Aptos"/>
            <a:ea typeface="+mn-ea"/>
            <a:cs typeface="+mn-cs"/>
          </a:endParaRPr>
        </a:p>
      </xdr:txBody>
    </xdr:sp>
    <xdr:clientData/>
  </xdr:twoCellAnchor>
  <xdr:twoCellAnchor>
    <xdr:from>
      <xdr:col>1</xdr:col>
      <xdr:colOff>144075</xdr:colOff>
      <xdr:row>9</xdr:row>
      <xdr:rowOff>143275</xdr:rowOff>
    </xdr:from>
    <xdr:to>
      <xdr:col>3</xdr:col>
      <xdr:colOff>437029</xdr:colOff>
      <xdr:row>11</xdr:row>
      <xdr:rowOff>78442</xdr:rowOff>
    </xdr:to>
    <xdr:sp macro="" textlink="">
      <xdr:nvSpPr>
        <xdr:cNvPr id="7" name="TextBox 6">
          <a:extLst>
            <a:ext uri="{FF2B5EF4-FFF2-40B4-BE49-F238E27FC236}">
              <a16:creationId xmlns:a16="http://schemas.microsoft.com/office/drawing/2014/main" id="{AE1AC56E-5225-4B2E-872E-E6A9A8537AD3}"/>
            </a:ext>
          </a:extLst>
        </xdr:cNvPr>
        <xdr:cNvSpPr txBox="1"/>
      </xdr:nvSpPr>
      <xdr:spPr>
        <a:xfrm>
          <a:off x="293754" y="1735311"/>
          <a:ext cx="1218239" cy="288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lumMod val="85000"/>
                </a:schemeClr>
              </a:solidFill>
            </a:rPr>
            <a:t>Amount</a:t>
          </a:r>
        </a:p>
      </xdr:txBody>
    </xdr:sp>
    <xdr:clientData/>
  </xdr:twoCellAnchor>
  <xdr:twoCellAnchor editAs="oneCell">
    <xdr:from>
      <xdr:col>1</xdr:col>
      <xdr:colOff>127732</xdr:colOff>
      <xdr:row>9</xdr:row>
      <xdr:rowOff>149009</xdr:rowOff>
    </xdr:from>
    <xdr:to>
      <xdr:col>2</xdr:col>
      <xdr:colOff>170804</xdr:colOff>
      <xdr:row>11</xdr:row>
      <xdr:rowOff>80822</xdr:rowOff>
    </xdr:to>
    <xdr:pic>
      <xdr:nvPicPr>
        <xdr:cNvPr id="8" name="Graphic 7">
          <a:extLst>
            <a:ext uri="{FF2B5EF4-FFF2-40B4-BE49-F238E27FC236}">
              <a16:creationId xmlns:a16="http://schemas.microsoft.com/office/drawing/2014/main" id="{27AF1F54-BDE7-44BE-836F-86BD5E04AD3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a:stretch/>
      </xdr:blipFill>
      <xdr:spPr>
        <a:xfrm>
          <a:off x="277411" y="1741045"/>
          <a:ext cx="288000" cy="285599"/>
        </a:xfrm>
        <a:prstGeom prst="rect">
          <a:avLst/>
        </a:prstGeom>
      </xdr:spPr>
    </xdr:pic>
    <xdr:clientData/>
  </xdr:twoCellAnchor>
  <xdr:twoCellAnchor>
    <xdr:from>
      <xdr:col>2</xdr:col>
      <xdr:colOff>0</xdr:colOff>
      <xdr:row>13</xdr:row>
      <xdr:rowOff>0</xdr:rowOff>
    </xdr:from>
    <xdr:to>
      <xdr:col>3</xdr:col>
      <xdr:colOff>369794</xdr:colOff>
      <xdr:row>14</xdr:row>
      <xdr:rowOff>100852</xdr:rowOff>
    </xdr:to>
    <xdr:sp macro="" textlink="Pivots!B8">
      <xdr:nvSpPr>
        <xdr:cNvPr id="9" name="TextBox 8">
          <a:extLst>
            <a:ext uri="{FF2B5EF4-FFF2-40B4-BE49-F238E27FC236}">
              <a16:creationId xmlns:a16="http://schemas.microsoft.com/office/drawing/2014/main" id="{48D99039-B819-4A13-8ADA-729902AE2947}"/>
            </a:ext>
          </a:extLst>
        </xdr:cNvPr>
        <xdr:cNvSpPr txBox="1"/>
      </xdr:nvSpPr>
      <xdr:spPr>
        <a:xfrm>
          <a:off x="394607" y="2299607"/>
          <a:ext cx="1050151" cy="277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B142B32-CC67-4539-8469-B8903C09B0FB}" type="TxLink">
            <a:rPr lang="en-US" sz="1200" b="0" i="0" u="none" strike="noStrike">
              <a:solidFill>
                <a:schemeClr val="bg1">
                  <a:lumMod val="85000"/>
                </a:schemeClr>
              </a:solidFill>
              <a:latin typeface="Aptos"/>
              <a:ea typeface="+mn-ea"/>
              <a:cs typeface="+mn-cs"/>
            </a:rPr>
            <a:pPr marL="0" indent="0" algn="ctr"/>
            <a:t>$96,623</a:t>
          </a:fld>
          <a:endParaRPr lang="en-IN" sz="1200" b="0" i="0" u="none" strike="noStrike">
            <a:solidFill>
              <a:schemeClr val="bg1">
                <a:lumMod val="85000"/>
              </a:schemeClr>
            </a:solidFill>
            <a:latin typeface="Aptos"/>
            <a:ea typeface="+mn-ea"/>
            <a:cs typeface="+mn-cs"/>
          </a:endParaRPr>
        </a:p>
      </xdr:txBody>
    </xdr:sp>
    <xdr:clientData/>
  </xdr:twoCellAnchor>
  <xdr:twoCellAnchor>
    <xdr:from>
      <xdr:col>1</xdr:col>
      <xdr:colOff>65634</xdr:colOff>
      <xdr:row>15</xdr:row>
      <xdr:rowOff>230522</xdr:rowOff>
    </xdr:from>
    <xdr:to>
      <xdr:col>3</xdr:col>
      <xdr:colOff>493058</xdr:colOff>
      <xdr:row>21</xdr:row>
      <xdr:rowOff>0</xdr:rowOff>
    </xdr:to>
    <xdr:sp macro="" textlink="Pivots!C4">
      <xdr:nvSpPr>
        <xdr:cNvPr id="10" name="Rectangle 9">
          <a:extLst>
            <a:ext uri="{FF2B5EF4-FFF2-40B4-BE49-F238E27FC236}">
              <a16:creationId xmlns:a16="http://schemas.microsoft.com/office/drawing/2014/main" id="{A7F6B883-F33C-4384-AF9E-66E3B386716B}"/>
            </a:ext>
          </a:extLst>
        </xdr:cNvPr>
        <xdr:cNvSpPr/>
      </xdr:nvSpPr>
      <xdr:spPr>
        <a:xfrm>
          <a:off x="215313" y="2883915"/>
          <a:ext cx="1352709" cy="898871"/>
        </a:xfrm>
        <a:prstGeom prst="rect">
          <a:avLst/>
        </a:prstGeom>
        <a:solidFill>
          <a:srgbClr val="002060">
            <a:alpha val="50000"/>
          </a:srgb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5756F92-E231-47E8-865A-5204BA053505}" type="TxLink">
            <a:rPr lang="en-US" sz="2400" b="0" i="0" u="none" strike="noStrike">
              <a:solidFill>
                <a:schemeClr val="bg1">
                  <a:lumMod val="75000"/>
                </a:schemeClr>
              </a:solidFill>
              <a:latin typeface="Aptos"/>
              <a:ea typeface="+mn-ea"/>
              <a:cs typeface="+mn-cs"/>
            </a:rPr>
            <a:pPr marL="0" indent="0" algn="ctr"/>
            <a:t>89,850</a:t>
          </a:fld>
          <a:endParaRPr lang="en-IN" sz="2400" b="0" i="0" u="none" strike="noStrike">
            <a:solidFill>
              <a:schemeClr val="bg1">
                <a:lumMod val="75000"/>
              </a:schemeClr>
            </a:solidFill>
            <a:latin typeface="Aptos"/>
            <a:ea typeface="+mn-ea"/>
            <a:cs typeface="+mn-cs"/>
          </a:endParaRPr>
        </a:p>
      </xdr:txBody>
    </xdr:sp>
    <xdr:clientData/>
  </xdr:twoCellAnchor>
  <xdr:twoCellAnchor>
    <xdr:from>
      <xdr:col>1</xdr:col>
      <xdr:colOff>144075</xdr:colOff>
      <xdr:row>15</xdr:row>
      <xdr:rowOff>219315</xdr:rowOff>
    </xdr:from>
    <xdr:to>
      <xdr:col>3</xdr:col>
      <xdr:colOff>437029</xdr:colOff>
      <xdr:row>17</xdr:row>
      <xdr:rowOff>154481</xdr:rowOff>
    </xdr:to>
    <xdr:sp macro="" textlink="">
      <xdr:nvSpPr>
        <xdr:cNvPr id="11" name="TextBox 10">
          <a:extLst>
            <a:ext uri="{FF2B5EF4-FFF2-40B4-BE49-F238E27FC236}">
              <a16:creationId xmlns:a16="http://schemas.microsoft.com/office/drawing/2014/main" id="{5A8857D4-0AF0-45A8-938A-B4362EB268AC}"/>
            </a:ext>
          </a:extLst>
        </xdr:cNvPr>
        <xdr:cNvSpPr txBox="1"/>
      </xdr:nvSpPr>
      <xdr:spPr>
        <a:xfrm>
          <a:off x="293754" y="2872708"/>
          <a:ext cx="1218239" cy="34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lumMod val="85000"/>
                </a:schemeClr>
              </a:solidFill>
            </a:rPr>
            <a:t>Call</a:t>
          </a:r>
          <a:r>
            <a:rPr lang="en-IN" sz="1200" baseline="0">
              <a:solidFill>
                <a:schemeClr val="bg1">
                  <a:lumMod val="85000"/>
                </a:schemeClr>
              </a:solidFill>
            </a:rPr>
            <a:t> Time</a:t>
          </a:r>
          <a:endParaRPr lang="en-IN" sz="1200">
            <a:solidFill>
              <a:schemeClr val="bg1">
                <a:lumMod val="85000"/>
              </a:schemeClr>
            </a:solidFill>
          </a:endParaRPr>
        </a:p>
      </xdr:txBody>
    </xdr:sp>
    <xdr:clientData/>
  </xdr:twoCellAnchor>
  <xdr:twoCellAnchor editAs="oneCell">
    <xdr:from>
      <xdr:col>1</xdr:col>
      <xdr:colOff>127732</xdr:colOff>
      <xdr:row>15</xdr:row>
      <xdr:rowOff>225049</xdr:rowOff>
    </xdr:from>
    <xdr:to>
      <xdr:col>2</xdr:col>
      <xdr:colOff>170804</xdr:colOff>
      <xdr:row>17</xdr:row>
      <xdr:rowOff>102434</xdr:rowOff>
    </xdr:to>
    <xdr:pic>
      <xdr:nvPicPr>
        <xdr:cNvPr id="12" name="Graphic 11">
          <a:extLst>
            <a:ext uri="{FF2B5EF4-FFF2-40B4-BE49-F238E27FC236}">
              <a16:creationId xmlns:a16="http://schemas.microsoft.com/office/drawing/2014/main" id="{181A3986-3030-4EA7-9B28-8EBEF378815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a:stretch/>
      </xdr:blipFill>
      <xdr:spPr>
        <a:xfrm>
          <a:off x="277411" y="2878442"/>
          <a:ext cx="288000" cy="285599"/>
        </a:xfrm>
        <a:prstGeom prst="rect">
          <a:avLst/>
        </a:prstGeom>
      </xdr:spPr>
    </xdr:pic>
    <xdr:clientData/>
  </xdr:twoCellAnchor>
  <xdr:twoCellAnchor>
    <xdr:from>
      <xdr:col>2</xdr:col>
      <xdr:colOff>0</xdr:colOff>
      <xdr:row>19</xdr:row>
      <xdr:rowOff>76040</xdr:rowOff>
    </xdr:from>
    <xdr:to>
      <xdr:col>3</xdr:col>
      <xdr:colOff>369794</xdr:colOff>
      <xdr:row>21</xdr:row>
      <xdr:rowOff>0</xdr:rowOff>
    </xdr:to>
    <xdr:sp macro="" textlink="Pivots!C8">
      <xdr:nvSpPr>
        <xdr:cNvPr id="13" name="TextBox 12">
          <a:extLst>
            <a:ext uri="{FF2B5EF4-FFF2-40B4-BE49-F238E27FC236}">
              <a16:creationId xmlns:a16="http://schemas.microsoft.com/office/drawing/2014/main" id="{C14661C8-29CD-40F5-9534-2113633573EE}"/>
            </a:ext>
          </a:extLst>
        </xdr:cNvPr>
        <xdr:cNvSpPr txBox="1"/>
      </xdr:nvSpPr>
      <xdr:spPr>
        <a:xfrm>
          <a:off x="394607" y="3505040"/>
          <a:ext cx="1050151" cy="277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6C37CD9-9537-418E-A6FD-9BCB0F6CABFF}" type="TxLink">
            <a:rPr lang="en-US" sz="1200" b="0" i="0" u="none" strike="noStrike">
              <a:solidFill>
                <a:schemeClr val="bg1">
                  <a:lumMod val="85000"/>
                </a:schemeClr>
              </a:solidFill>
              <a:latin typeface="Aptos"/>
              <a:ea typeface="+mn-ea"/>
              <a:cs typeface="+mn-cs"/>
            </a:rPr>
            <a:pPr marL="0" indent="0" algn="ctr"/>
            <a:t>89,850</a:t>
          </a:fld>
          <a:endParaRPr lang="en-IN" sz="1200" b="0" i="0" u="none" strike="noStrike">
            <a:solidFill>
              <a:schemeClr val="bg1">
                <a:lumMod val="85000"/>
              </a:schemeClr>
            </a:solidFill>
            <a:latin typeface="Aptos"/>
            <a:ea typeface="+mn-ea"/>
            <a:cs typeface="+mn-cs"/>
          </a:endParaRPr>
        </a:p>
      </xdr:txBody>
    </xdr:sp>
    <xdr:clientData/>
  </xdr:twoCellAnchor>
  <xdr:twoCellAnchor>
    <xdr:from>
      <xdr:col>1</xdr:col>
      <xdr:colOff>76041</xdr:colOff>
      <xdr:row>23</xdr:row>
      <xdr:rowOff>40023</xdr:rowOff>
    </xdr:from>
    <xdr:to>
      <xdr:col>3</xdr:col>
      <xdr:colOff>503465</xdr:colOff>
      <xdr:row>28</xdr:row>
      <xdr:rowOff>0</xdr:rowOff>
    </xdr:to>
    <xdr:sp macro="" textlink="Pivots!D4">
      <xdr:nvSpPr>
        <xdr:cNvPr id="14" name="Rectangle 13">
          <a:extLst>
            <a:ext uri="{FF2B5EF4-FFF2-40B4-BE49-F238E27FC236}">
              <a16:creationId xmlns:a16="http://schemas.microsoft.com/office/drawing/2014/main" id="{F896D6F8-FD5C-4C4E-9AFA-3FD38D1665AB}"/>
            </a:ext>
          </a:extLst>
        </xdr:cNvPr>
        <xdr:cNvSpPr/>
      </xdr:nvSpPr>
      <xdr:spPr>
        <a:xfrm>
          <a:off x="225720" y="4190202"/>
          <a:ext cx="1352709" cy="844441"/>
        </a:xfrm>
        <a:prstGeom prst="rect">
          <a:avLst/>
        </a:prstGeom>
        <a:solidFill>
          <a:srgbClr val="002060">
            <a:alpha val="50000"/>
          </a:srgb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CDFB5BC-E109-41A4-83F2-BD3FE903E568}" type="TxLink">
            <a:rPr lang="en-US" sz="2400" b="0" i="0" u="none" strike="noStrike">
              <a:solidFill>
                <a:schemeClr val="bg1">
                  <a:lumMod val="75000"/>
                </a:schemeClr>
              </a:solidFill>
              <a:latin typeface="Aptos"/>
              <a:ea typeface="+mn-ea"/>
              <a:cs typeface="+mn-cs"/>
            </a:rPr>
            <a:pPr marL="0" indent="0" algn="ctr"/>
            <a:t>3.9</a:t>
          </a:fld>
          <a:endParaRPr lang="en-IN" sz="2400" b="0" i="0" u="none" strike="noStrike">
            <a:solidFill>
              <a:schemeClr val="bg1">
                <a:lumMod val="75000"/>
              </a:schemeClr>
            </a:solidFill>
            <a:latin typeface="Aptos"/>
            <a:ea typeface="+mn-ea"/>
            <a:cs typeface="+mn-cs"/>
          </a:endParaRPr>
        </a:p>
      </xdr:txBody>
    </xdr:sp>
    <xdr:clientData/>
  </xdr:twoCellAnchor>
  <xdr:twoCellAnchor>
    <xdr:from>
      <xdr:col>1</xdr:col>
      <xdr:colOff>154482</xdr:colOff>
      <xdr:row>23</xdr:row>
      <xdr:rowOff>28816</xdr:rowOff>
    </xdr:from>
    <xdr:to>
      <xdr:col>3</xdr:col>
      <xdr:colOff>447436</xdr:colOff>
      <xdr:row>24</xdr:row>
      <xdr:rowOff>140875</xdr:rowOff>
    </xdr:to>
    <xdr:sp macro="" textlink="">
      <xdr:nvSpPr>
        <xdr:cNvPr id="15" name="TextBox 14">
          <a:extLst>
            <a:ext uri="{FF2B5EF4-FFF2-40B4-BE49-F238E27FC236}">
              <a16:creationId xmlns:a16="http://schemas.microsoft.com/office/drawing/2014/main" id="{8973BB58-C515-476F-80E3-C82D46EB48E1}"/>
            </a:ext>
          </a:extLst>
        </xdr:cNvPr>
        <xdr:cNvSpPr txBox="1"/>
      </xdr:nvSpPr>
      <xdr:spPr>
        <a:xfrm>
          <a:off x="304161" y="4178995"/>
          <a:ext cx="1218239" cy="288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lumMod val="85000"/>
                </a:schemeClr>
              </a:solidFill>
            </a:rPr>
            <a:t>Avg</a:t>
          </a:r>
          <a:r>
            <a:rPr lang="en-IN" sz="1200" baseline="0">
              <a:solidFill>
                <a:schemeClr val="bg1">
                  <a:lumMod val="85000"/>
                </a:schemeClr>
              </a:solidFill>
            </a:rPr>
            <a:t> Rating</a:t>
          </a:r>
          <a:endParaRPr lang="en-IN" sz="1200">
            <a:solidFill>
              <a:schemeClr val="bg1">
                <a:lumMod val="85000"/>
              </a:schemeClr>
            </a:solidFill>
          </a:endParaRPr>
        </a:p>
      </xdr:txBody>
    </xdr:sp>
    <xdr:clientData/>
  </xdr:twoCellAnchor>
  <xdr:twoCellAnchor editAs="oneCell">
    <xdr:from>
      <xdr:col>1</xdr:col>
      <xdr:colOff>138139</xdr:colOff>
      <xdr:row>23</xdr:row>
      <xdr:rowOff>34550</xdr:rowOff>
    </xdr:from>
    <xdr:to>
      <xdr:col>2</xdr:col>
      <xdr:colOff>181211</xdr:colOff>
      <xdr:row>24</xdr:row>
      <xdr:rowOff>143255</xdr:rowOff>
    </xdr:to>
    <xdr:pic>
      <xdr:nvPicPr>
        <xdr:cNvPr id="16" name="Graphic 15">
          <a:extLst>
            <a:ext uri="{FF2B5EF4-FFF2-40B4-BE49-F238E27FC236}">
              <a16:creationId xmlns:a16="http://schemas.microsoft.com/office/drawing/2014/main" id="{65805C8E-A8EC-4C2C-B2DE-054A40109D8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rcRect/>
        <a:stretch/>
      </xdr:blipFill>
      <xdr:spPr>
        <a:xfrm>
          <a:off x="287818" y="4184729"/>
          <a:ext cx="288000" cy="285598"/>
        </a:xfrm>
        <a:prstGeom prst="rect">
          <a:avLst/>
        </a:prstGeom>
      </xdr:spPr>
    </xdr:pic>
    <xdr:clientData/>
  </xdr:twoCellAnchor>
  <xdr:twoCellAnchor>
    <xdr:from>
      <xdr:col>2</xdr:col>
      <xdr:colOff>10407</xdr:colOff>
      <xdr:row>26</xdr:row>
      <xdr:rowOff>76040</xdr:rowOff>
    </xdr:from>
    <xdr:to>
      <xdr:col>3</xdr:col>
      <xdr:colOff>380201</xdr:colOff>
      <xdr:row>28</xdr:row>
      <xdr:rowOff>0</xdr:rowOff>
    </xdr:to>
    <xdr:sp macro="" textlink="Pivots!D8">
      <xdr:nvSpPr>
        <xdr:cNvPr id="17" name="TextBox 16">
          <a:extLst>
            <a:ext uri="{FF2B5EF4-FFF2-40B4-BE49-F238E27FC236}">
              <a16:creationId xmlns:a16="http://schemas.microsoft.com/office/drawing/2014/main" id="{FFF3F4FB-84C0-4218-99D4-77D987342E10}"/>
            </a:ext>
          </a:extLst>
        </xdr:cNvPr>
        <xdr:cNvSpPr txBox="1"/>
      </xdr:nvSpPr>
      <xdr:spPr>
        <a:xfrm>
          <a:off x="405014" y="4756897"/>
          <a:ext cx="1050151" cy="277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5A57878-332D-45E0-A828-7D24614FE2B4}" type="TxLink">
            <a:rPr lang="en-US" sz="1200" b="0" i="0" u="none" strike="noStrike">
              <a:solidFill>
                <a:schemeClr val="bg1">
                  <a:lumMod val="85000"/>
                </a:schemeClr>
              </a:solidFill>
              <a:latin typeface="Aptos"/>
              <a:ea typeface="+mn-ea"/>
              <a:cs typeface="+mn-cs"/>
            </a:rPr>
            <a:pPr marL="0" indent="0" algn="ctr"/>
            <a:t>3.9</a:t>
          </a:fld>
          <a:endParaRPr lang="en-IN" sz="1200" b="0" i="0" u="none" strike="noStrike">
            <a:solidFill>
              <a:schemeClr val="bg1">
                <a:lumMod val="85000"/>
              </a:schemeClr>
            </a:solidFill>
            <a:latin typeface="Aptos"/>
            <a:ea typeface="+mn-ea"/>
            <a:cs typeface="+mn-cs"/>
          </a:endParaRPr>
        </a:p>
      </xdr:txBody>
    </xdr:sp>
    <xdr:clientData/>
  </xdr:twoCellAnchor>
  <xdr:twoCellAnchor>
    <xdr:from>
      <xdr:col>1</xdr:col>
      <xdr:colOff>65634</xdr:colOff>
      <xdr:row>30</xdr:row>
      <xdr:rowOff>40022</xdr:rowOff>
    </xdr:from>
    <xdr:to>
      <xdr:col>3</xdr:col>
      <xdr:colOff>493058</xdr:colOff>
      <xdr:row>35</xdr:row>
      <xdr:rowOff>0</xdr:rowOff>
    </xdr:to>
    <xdr:sp macro="" textlink="Pivots!E4">
      <xdr:nvSpPr>
        <xdr:cNvPr id="18" name="Rectangle 17">
          <a:extLst>
            <a:ext uri="{FF2B5EF4-FFF2-40B4-BE49-F238E27FC236}">
              <a16:creationId xmlns:a16="http://schemas.microsoft.com/office/drawing/2014/main" id="{F9CD1D08-2486-4805-B66A-85122DF83565}"/>
            </a:ext>
          </a:extLst>
        </xdr:cNvPr>
        <xdr:cNvSpPr/>
      </xdr:nvSpPr>
      <xdr:spPr>
        <a:xfrm>
          <a:off x="215313" y="5442058"/>
          <a:ext cx="1352709" cy="844442"/>
        </a:xfrm>
        <a:prstGeom prst="rect">
          <a:avLst/>
        </a:prstGeom>
        <a:solidFill>
          <a:srgbClr val="002060">
            <a:alpha val="50000"/>
          </a:srgb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4224C26-40A8-442C-928E-142F8CAB1600}" type="TxLink">
            <a:rPr lang="en-US" sz="2400" b="0" i="0" u="none" strike="noStrike">
              <a:solidFill>
                <a:schemeClr val="bg1">
                  <a:lumMod val="75000"/>
                </a:schemeClr>
              </a:solidFill>
              <a:latin typeface="Aptos"/>
              <a:ea typeface="+mn-ea"/>
              <a:cs typeface="+mn-cs"/>
            </a:rPr>
            <a:pPr marL="0" indent="0" algn="ctr"/>
            <a:t>307</a:t>
          </a:fld>
          <a:endParaRPr lang="en-IN" sz="2400" b="0" i="0" u="none" strike="noStrike">
            <a:solidFill>
              <a:schemeClr val="bg1">
                <a:lumMod val="75000"/>
              </a:schemeClr>
            </a:solidFill>
            <a:latin typeface="Aptos"/>
            <a:ea typeface="+mn-ea"/>
            <a:cs typeface="+mn-cs"/>
          </a:endParaRPr>
        </a:p>
      </xdr:txBody>
    </xdr:sp>
    <xdr:clientData/>
  </xdr:twoCellAnchor>
  <xdr:twoCellAnchor>
    <xdr:from>
      <xdr:col>1</xdr:col>
      <xdr:colOff>144075</xdr:colOff>
      <xdr:row>30</xdr:row>
      <xdr:rowOff>28815</xdr:rowOff>
    </xdr:from>
    <xdr:to>
      <xdr:col>3</xdr:col>
      <xdr:colOff>437029</xdr:colOff>
      <xdr:row>31</xdr:row>
      <xdr:rowOff>140874</xdr:rowOff>
    </xdr:to>
    <xdr:sp macro="" textlink="">
      <xdr:nvSpPr>
        <xdr:cNvPr id="19" name="TextBox 18">
          <a:extLst>
            <a:ext uri="{FF2B5EF4-FFF2-40B4-BE49-F238E27FC236}">
              <a16:creationId xmlns:a16="http://schemas.microsoft.com/office/drawing/2014/main" id="{D1EAA251-6EF1-4691-93A7-F82BAB6A6BB7}"/>
            </a:ext>
          </a:extLst>
        </xdr:cNvPr>
        <xdr:cNvSpPr txBox="1"/>
      </xdr:nvSpPr>
      <xdr:spPr>
        <a:xfrm>
          <a:off x="293754" y="5430851"/>
          <a:ext cx="1218239" cy="288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lumMod val="85000"/>
                </a:schemeClr>
              </a:solidFill>
            </a:rPr>
            <a:t>Happy</a:t>
          </a:r>
          <a:r>
            <a:rPr lang="en-IN" sz="1200" baseline="0">
              <a:solidFill>
                <a:schemeClr val="bg1">
                  <a:lumMod val="85000"/>
                </a:schemeClr>
              </a:solidFill>
            </a:rPr>
            <a:t> Calls</a:t>
          </a:r>
          <a:endParaRPr lang="en-IN" sz="1200">
            <a:solidFill>
              <a:schemeClr val="bg1">
                <a:lumMod val="85000"/>
              </a:schemeClr>
            </a:solidFill>
          </a:endParaRPr>
        </a:p>
      </xdr:txBody>
    </xdr:sp>
    <xdr:clientData/>
  </xdr:twoCellAnchor>
  <xdr:twoCellAnchor editAs="oneCell">
    <xdr:from>
      <xdr:col>1</xdr:col>
      <xdr:colOff>127732</xdr:colOff>
      <xdr:row>30</xdr:row>
      <xdr:rowOff>34549</xdr:rowOff>
    </xdr:from>
    <xdr:to>
      <xdr:col>2</xdr:col>
      <xdr:colOff>170804</xdr:colOff>
      <xdr:row>31</xdr:row>
      <xdr:rowOff>143255</xdr:rowOff>
    </xdr:to>
    <xdr:pic>
      <xdr:nvPicPr>
        <xdr:cNvPr id="20" name="Graphic 19">
          <a:extLst>
            <a:ext uri="{FF2B5EF4-FFF2-40B4-BE49-F238E27FC236}">
              <a16:creationId xmlns:a16="http://schemas.microsoft.com/office/drawing/2014/main" id="{3DD8E41E-B291-438D-99A5-023C4E1D546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rcRect/>
        <a:stretch/>
      </xdr:blipFill>
      <xdr:spPr>
        <a:xfrm>
          <a:off x="277411" y="5436585"/>
          <a:ext cx="288000" cy="285599"/>
        </a:xfrm>
        <a:prstGeom prst="rect">
          <a:avLst/>
        </a:prstGeom>
      </xdr:spPr>
    </xdr:pic>
    <xdr:clientData/>
  </xdr:twoCellAnchor>
  <xdr:twoCellAnchor>
    <xdr:from>
      <xdr:col>2</xdr:col>
      <xdr:colOff>0</xdr:colOff>
      <xdr:row>33</xdr:row>
      <xdr:rowOff>76040</xdr:rowOff>
    </xdr:from>
    <xdr:to>
      <xdr:col>3</xdr:col>
      <xdr:colOff>369794</xdr:colOff>
      <xdr:row>35</xdr:row>
      <xdr:rowOff>0</xdr:rowOff>
    </xdr:to>
    <xdr:sp macro="" textlink="Pivots!E8">
      <xdr:nvSpPr>
        <xdr:cNvPr id="21" name="TextBox 20">
          <a:extLst>
            <a:ext uri="{FF2B5EF4-FFF2-40B4-BE49-F238E27FC236}">
              <a16:creationId xmlns:a16="http://schemas.microsoft.com/office/drawing/2014/main" id="{7F2FFDFD-8231-4BDB-8A0B-0E8ADE7CFD2D}"/>
            </a:ext>
          </a:extLst>
        </xdr:cNvPr>
        <xdr:cNvSpPr txBox="1"/>
      </xdr:nvSpPr>
      <xdr:spPr>
        <a:xfrm>
          <a:off x="394607" y="6008754"/>
          <a:ext cx="1050151" cy="277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8733CA6-AF56-4F6F-B7F4-5A7A59581D3A}" type="TxLink">
            <a:rPr lang="en-US" sz="1200" b="0" i="0" u="none" strike="noStrike">
              <a:solidFill>
                <a:schemeClr val="bg1">
                  <a:lumMod val="85000"/>
                </a:schemeClr>
              </a:solidFill>
              <a:latin typeface="Aptos"/>
              <a:ea typeface="+mn-ea"/>
              <a:cs typeface="+mn-cs"/>
            </a:rPr>
            <a:pPr marL="0" indent="0" algn="ctr"/>
            <a:t>307</a:t>
          </a:fld>
          <a:endParaRPr lang="en-IN" sz="1200" b="0" i="0" u="none" strike="noStrike">
            <a:solidFill>
              <a:schemeClr val="bg1">
                <a:lumMod val="85000"/>
              </a:schemeClr>
            </a:solidFill>
            <a:latin typeface="Aptos"/>
            <a:ea typeface="+mn-ea"/>
            <a:cs typeface="+mn-cs"/>
          </a:endParaRPr>
        </a:p>
      </xdr:txBody>
    </xdr:sp>
    <xdr:clientData/>
  </xdr:twoCellAnchor>
  <xdr:twoCellAnchor editAs="oneCell">
    <xdr:from>
      <xdr:col>10</xdr:col>
      <xdr:colOff>0</xdr:colOff>
      <xdr:row>15</xdr:row>
      <xdr:rowOff>33616</xdr:rowOff>
    </xdr:from>
    <xdr:to>
      <xdr:col>13</xdr:col>
      <xdr:colOff>0</xdr:colOff>
      <xdr:row>24</xdr:row>
      <xdr:rowOff>27214</xdr:rowOff>
    </xdr:to>
    <mc:AlternateContent xmlns:mc="http://schemas.openxmlformats.org/markup-compatibility/2006" xmlns:a14="http://schemas.microsoft.com/office/drawing/2010/main">
      <mc:Choice Requires="a14">
        <xdr:graphicFrame macro="">
          <xdr:nvGraphicFramePr>
            <xdr:cNvPr id="22" name="Representative">
              <a:extLst>
                <a:ext uri="{FF2B5EF4-FFF2-40B4-BE49-F238E27FC236}">
                  <a16:creationId xmlns:a16="http://schemas.microsoft.com/office/drawing/2014/main" id="{2C9B0E80-EDE0-4D01-BEFE-94FE4BD65244}"/>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041571" y="3190473"/>
              <a:ext cx="2041072" cy="16672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3</xdr:row>
      <xdr:rowOff>0</xdr:rowOff>
    </xdr:from>
    <xdr:to>
      <xdr:col>9</xdr:col>
      <xdr:colOff>1</xdr:colOff>
      <xdr:row>14</xdr:row>
      <xdr:rowOff>1</xdr:rowOff>
    </xdr:to>
    <xdr:graphicFrame macro="">
      <xdr:nvGraphicFramePr>
        <xdr:cNvPr id="23" name="Chart 22">
          <a:extLst>
            <a:ext uri="{FF2B5EF4-FFF2-40B4-BE49-F238E27FC236}">
              <a16:creationId xmlns:a16="http://schemas.microsoft.com/office/drawing/2014/main" id="{B089F27F-4680-47B9-BC0D-F84F0ED04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0</xdr:colOff>
      <xdr:row>14</xdr:row>
      <xdr:rowOff>0</xdr:rowOff>
    </xdr:from>
    <xdr:to>
      <xdr:col>10</xdr:col>
      <xdr:colOff>0</xdr:colOff>
      <xdr:row>35</xdr:row>
      <xdr:rowOff>81593</xdr:rowOff>
    </xdr:to>
    <xdr:sp macro="" textlink="">
      <xdr:nvSpPr>
        <xdr:cNvPr id="27" name="Rectangle 26">
          <a:extLst>
            <a:ext uri="{FF2B5EF4-FFF2-40B4-BE49-F238E27FC236}">
              <a16:creationId xmlns:a16="http://schemas.microsoft.com/office/drawing/2014/main" id="{897A3C8A-DBAD-4F08-9C14-6E0799D4A2B3}"/>
            </a:ext>
          </a:extLst>
        </xdr:cNvPr>
        <xdr:cNvSpPr/>
      </xdr:nvSpPr>
      <xdr:spPr>
        <a:xfrm>
          <a:off x="1959429" y="2476500"/>
          <a:ext cx="4082142" cy="3891593"/>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xdr:colOff>
      <xdr:row>14</xdr:row>
      <xdr:rowOff>122464</xdr:rowOff>
    </xdr:from>
    <xdr:to>
      <xdr:col>7</xdr:col>
      <xdr:colOff>0</xdr:colOff>
      <xdr:row>35</xdr:row>
      <xdr:rowOff>122464</xdr:rowOff>
    </xdr:to>
    <xdr:graphicFrame macro="">
      <xdr:nvGraphicFramePr>
        <xdr:cNvPr id="25" name="Chart 24">
          <a:extLst>
            <a:ext uri="{FF2B5EF4-FFF2-40B4-BE49-F238E27FC236}">
              <a16:creationId xmlns:a16="http://schemas.microsoft.com/office/drawing/2014/main" id="{DF2A345C-2DCE-447F-AD8C-A7BC121C3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0</xdr:colOff>
      <xdr:row>15</xdr:row>
      <xdr:rowOff>68035</xdr:rowOff>
    </xdr:from>
    <xdr:to>
      <xdr:col>10</xdr:col>
      <xdr:colOff>0</xdr:colOff>
      <xdr:row>35</xdr:row>
      <xdr:rowOff>116601</xdr:rowOff>
    </xdr:to>
    <xdr:graphicFrame macro="">
      <xdr:nvGraphicFramePr>
        <xdr:cNvPr id="26" name="Chart 25">
          <a:extLst>
            <a:ext uri="{FF2B5EF4-FFF2-40B4-BE49-F238E27FC236}">
              <a16:creationId xmlns:a16="http://schemas.microsoft.com/office/drawing/2014/main" id="{64C64285-8AD2-434F-A2BE-CEC1ABA54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344980</xdr:colOff>
      <xdr:row>3</xdr:row>
      <xdr:rowOff>0</xdr:rowOff>
    </xdr:from>
    <xdr:to>
      <xdr:col>16</xdr:col>
      <xdr:colOff>27214</xdr:colOff>
      <xdr:row>14</xdr:row>
      <xdr:rowOff>144077</xdr:rowOff>
    </xdr:to>
    <xdr:graphicFrame macro="">
      <xdr:nvGraphicFramePr>
        <xdr:cNvPr id="32" name="Chart 31">
          <a:extLst>
            <a:ext uri="{FF2B5EF4-FFF2-40B4-BE49-F238E27FC236}">
              <a16:creationId xmlns:a16="http://schemas.microsoft.com/office/drawing/2014/main" id="{6483FA66-BC80-47B8-9CAC-D9484EAB4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666750</xdr:colOff>
      <xdr:row>3</xdr:row>
      <xdr:rowOff>0</xdr:rowOff>
    </xdr:from>
    <xdr:to>
      <xdr:col>20</xdr:col>
      <xdr:colOff>0</xdr:colOff>
      <xdr:row>14</xdr:row>
      <xdr:rowOff>153866</xdr:rowOff>
    </xdr:to>
    <xdr:graphicFrame macro="">
      <xdr:nvGraphicFramePr>
        <xdr:cNvPr id="33" name="Chart 32">
          <a:extLst>
            <a:ext uri="{FF2B5EF4-FFF2-40B4-BE49-F238E27FC236}">
              <a16:creationId xmlns:a16="http://schemas.microsoft.com/office/drawing/2014/main" id="{D5F49790-D2B8-410B-821F-1CFC68B94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3.956139814814" backgroundQuery="1" createdVersion="7" refreshedVersion="7" minRefreshableVersion="3" recordCount="0" supportSubquery="1" supportAdvancedDrill="1" xr:uid="{AE300B06-BB6F-4D6B-B115-84AD4CE1C645}">
  <cacheSource type="external" connectionId="1"/>
  <cacheFields count="3">
    <cacheField name="[customers].[City].[City]" caption="City" numFmtId="0" hierarchy="15" level="1">
      <sharedItems count="3">
        <s v="Cincinnati"/>
        <s v="Cleveland"/>
        <s v="Columbus"/>
      </sharedItems>
    </cacheField>
    <cacheField name="[Measures].[Call Count]" caption="Call Count" numFmtId="0" hierarchy="17" level="32767"/>
    <cacheField name="[customers].[Gedner].[Gedner]" caption="Gedner" numFmtId="0" hierarchy="13" level="1">
      <sharedItems count="2">
        <s v="Female"/>
        <s v="Male"/>
      </sharedItems>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Satisfaction Rating]" caption="Count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3.857524768522" backgroundQuery="1" createdVersion="7" refreshedVersion="7" minRefreshableVersion="3" recordCount="0" supportSubquery="1" supportAdvancedDrill="1" xr:uid="{9CE66745-5103-40B8-B098-66C6F87A6FBF}">
  <cacheSource type="external" connectionId="1"/>
  <cacheFields count="3">
    <cacheField name="[calls].[Representative].[Representative]" caption="Representative" numFmtId="0" hierarchy="3" level="1">
      <sharedItems count="5">
        <s v="R01"/>
        <s v="R02"/>
        <s v="R03"/>
        <s v="R04"/>
        <s v="R05"/>
      </sharedItems>
    </cacheField>
    <cacheField name="[Measures].[Total Amount]" caption="Total Amount" numFmtId="0" hierarchy="18" level="32767"/>
    <cacheField name="[Measures].[Call Count]" caption="Call Count" numFmtId="0" hierarchy="17" level="32767"/>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Satisfaction Rating]" caption="Count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3.857368750003" backgroundQuery="1" createdVersion="7" refreshedVersion="7" minRefreshableVersion="3" recordCount="0" supportSubquery="1" supportAdvancedDrill="1" xr:uid="{02CFA1E5-6526-4021-BBD8-E6E870E5DDCC}">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Satisfaction Rating]" caption="Count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3.983486805555" backgroundQuery="1" createdVersion="7" refreshedVersion="7" minRefreshableVersion="3" recordCount="0" supportSubquery="1" supportAdvancedDrill="1" xr:uid="{08D10DD3-5382-439A-A0F0-571F51B25484}">
  <cacheSource type="external" connectionId="1"/>
  <cacheFields count="4">
    <cacheField name="[calls].[Representative].[Representative]" caption="Representative" numFmtId="0" hierarchy="3" level="1">
      <sharedItems count="5">
        <s v="R01"/>
        <s v="R02"/>
        <s v="R03"/>
        <s v="R04"/>
        <s v="R05"/>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ustomers].[City].[City]" caption="City" numFmtId="0" hierarchy="15" level="1">
      <sharedItems count="3">
        <s v="Cincinnati"/>
        <s v="Cleveland"/>
        <s v="Columbus"/>
      </sharedItems>
    </cacheField>
    <cacheField name="[Measures].[Sum of Purchase Amount]" caption="Sum of Purchase Amount" numFmtId="0" hierarchy="25" level="32767"/>
  </cacheFields>
  <cacheHierarchies count="33">
    <cacheHierarchy uniqueName="[calls].[Call number]" caption="Call number" attribute="1" defaultMemberUniqueName="[calls].[Call number].[All]" allUniqueName="[calls].[Call number].[All]" dimensionUniqueName="[calls]" displayFolder="" count="2" memberValueDatatype="130" unbalanced="0"/>
    <cacheHierarchy uniqueName="[calls].[Customer ID]" caption="Customer ID" attribute="1" defaultMemberUniqueName="[calls].[Customer ID].[All]" allUniqueName="[calls].[Customer ID].[All]" dimensionUniqueName="[calls]" displayFolder="" count="2" memberValueDatatype="130" unbalanced="0"/>
    <cacheHierarchy uniqueName="[calls].[Duration]" caption="Duration" attribute="1" defaultMemberUniqueName="[calls].[Duration].[All]" allUniqueName="[calls].[Duration].[All]" dimensionUniqueName="[calls]" displayFolder="" count="2"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2" memberValueDatatype="20" unbalanced="0"/>
    <cacheHierarchy uniqueName="[calls].[Satisfaction Rating]" caption="Satisfaction Rating" attribute="1" defaultMemberUniqueName="[calls].[Satisfaction Rating].[All]" allUniqueName="[calls].[Satisfaction Rating].[All]" dimensionUniqueName="[calls]" displayFolder="" count="2" memberValueDatatype="5" unbalanced="0"/>
    <cacheHierarchy uniqueName="[calls].[FY]" caption="FY" attribute="1" defaultMemberUniqueName="[calls].[FY].[All]" allUniqueName="[calls].[FY].[All]" dimensionUniqueName="[calls]" displayFolder="" count="2" memberValueDatatype="20" unbalanced="0"/>
    <cacheHierarchy uniqueName="[calls].[Day of week]" caption="Day of week" attribute="1" defaultMemberUniqueName="[calls].[Day of week].[All]" allUniqueName="[calls].[Day of week].[All]" dimensionUniqueName="[calls]" displayFolder="" count="2" memberValueDatatype="130" unbalanced="0"/>
    <cacheHierarchy uniqueName="[calls].[Duration Bucket]" caption="Duration Bucket" attribute="1" defaultMemberUniqueName="[calls].[Duration Bucket].[All]" allUniqueName="[calls].[Duration Bucket].[All]" dimensionUniqueName="[calls]" displayFolder="" count="2"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2"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Satisfaction Rating]" caption="Count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4.023812847219" backgroundQuery="1" createdVersion="7" refreshedVersion="7" minRefreshableVersion="3" recordCount="0" supportSubquery="1" supportAdvancedDrill="1" xr:uid="{B70E24D2-6A1F-4B13-A1A5-0326C3E6496B}">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Satisfaction Rating]" caption="Count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4.023813541666" backgroundQuery="1" createdVersion="7" refreshedVersion="7" minRefreshableVersion="3" recordCount="0" supportSubquery="1" supportAdvancedDrill="1" xr:uid="{6AF0F008-C3E1-43F0-ADF3-C5F28B620328}">
  <cacheSource type="external" connectionId="1"/>
  <cacheFields count="5">
    <cacheField name="[calls].[Date of Call].[Date of Call]" caption="Date of Call" numFmtId="0" hierarchy="4" level="1">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ount of Call number]" caption="Count of Call number" numFmtId="0" hierarchy="29" level="32767"/>
    <cacheField name="[calls].[Representative].[Representative]" caption="Representative" numFmtId="0" hierarchy="3" level="1">
      <sharedItems containsSemiMixedTypes="0" containsNonDate="0" containsString="0"/>
    </cacheField>
    <cacheField name="Dummy0" numFmtId="0" hierarchy="33" level="32767">
      <extLst>
        <ext xmlns:x14="http://schemas.microsoft.com/office/spreadsheetml/2009/9/main" uri="{63CAB8AC-B538-458d-9737-405883B0398D}">
          <x14:cacheField ignore="1"/>
        </ext>
      </extLst>
    </cacheField>
  </cacheFields>
  <cacheHierarchies count="3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Satisfaction Rating]" caption="Count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4.023814120374" backgroundQuery="1" createdVersion="7" refreshedVersion="7" minRefreshableVersion="3" recordCount="0" supportSubquery="1" supportAdvancedDrill="1" xr:uid="{EA664897-A97D-435A-9C12-C10E492B65AB}">
  <cacheSource type="external" connectionId="1"/>
  <cacheFields count="3">
    <cacheField name="[calls].[Representative].[Representative]" caption="Representative" numFmtId="0" hierarchy="3" level="1">
      <sharedItems containsSemiMixedTypes="0" containsNonDate="0" containsString="0"/>
    </cacheField>
    <cacheField name="[Measures].[Call Count]" caption="Call Count" numFmtId="0" hierarchy="17" level="32767"/>
    <cacheField name="[calls].[Day of week].[Day of week]" caption="Day of week" numFmtId="0" hierarchy="8" level="1">
      <sharedItems count="7">
        <s v="Friday"/>
        <s v="Monday"/>
        <s v="Saturday"/>
        <s v="Sunday"/>
        <s v="Thursday"/>
        <s v="Tuesday"/>
        <s v="Wednesday"/>
      </sharedItems>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2"/>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Satisfaction Rating]" caption="Count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4.023814699074" backgroundQuery="1" createdVersion="7" refreshedVersion="7" minRefreshableVersion="3" recordCount="0" supportSubquery="1" supportAdvancedDrill="1" xr:uid="{8CB5203E-0E5D-497F-B560-79E55EA4D951}">
  <cacheSource type="external" connectionId="1"/>
  <cacheFields count="1">
    <cacheField name="[calls].[Representative].[Representative]" caption="Representative" numFmtId="0" hierarchy="3" level="1">
      <sharedItems count="5">
        <s v="R01"/>
        <s v="R02"/>
        <s v="R03"/>
        <s v="R04"/>
        <s v="R05"/>
      </sharedItems>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Satisfaction Rating]" caption="Count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4.023815277775" backgroundQuery="1" createdVersion="7" refreshedVersion="7" minRefreshableVersion="3" recordCount="0" supportSubquery="1" supportAdvancedDrill="1" xr:uid="{7BFC70EE-2C23-47C4-9FA6-E3B7DE6B4F27}">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Satisfaction Rating]" caption="Count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3.857360185182" backgroundQuery="1" createdVersion="3" refreshedVersion="7" minRefreshableVersion="3" recordCount="0" supportSubquery="1" supportAdvancedDrill="1" xr:uid="{05F76E34-1844-4E53-AD33-92FF6F8B7148}">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extLst>
        <ext xmlns:x15="http://schemas.microsoft.com/office/spreadsheetml/2010/11/main" uri="{B97F6D7D-B522-45F9-BDA1-12C45D357490}">
          <x15:cacheHierarchy aggregatedColumn="6"/>
        </ext>
      </extLst>
    </cacheHierarchy>
    <cacheHierarchy uniqueName="[Measures].[Count of Satisfaction Rating]" caption="Count of Satisfaction Rating" measure="1" displayFolder="" measureGroup="calls" count="0">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830702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6F5124-3DAB-4B19-A100-8CFF981D4B47}" name="Rep Pivot" cacheId="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E9BE07-9591-4F11-BCD7-F3B108ED5742}" name="Selected Rep" cacheId="7"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location ref="A49:A54"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5">
    <i>
      <x/>
    </i>
    <i>
      <x v="1"/>
    </i>
    <i>
      <x v="2"/>
    </i>
    <i>
      <x v="3"/>
    </i>
    <i>
      <x v="4"/>
    </i>
  </rowItem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689CC6-95C7-4836-9912-AB30B00D6502}" name="Reps Pivot"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9:C45"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2" subtotal="count" baseField="0" baseItem="0"/>
    <dataField fld="1"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1A91A5-E4A3-4C5A-B5E8-19854113019C}" name="Summary Pivot"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F3E789-9086-4490-9B0C-133C7688149D}" name="Total" cacheId="3"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chartFormat="18">
  <location ref="A74:G93"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2"/>
    <field x="1"/>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name="Sum of Purchase Amount" fld="3" baseField="2" baseItem="0" numFmtId="168"/>
  </dataField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950D2F-136A-428C-8F8A-08EE19AAB017}" name="Rep Satisfaction" cacheId="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8">
  <location ref="A65:B72"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17"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8ECA0E-20F7-429C-94D2-6256478CAFB3}" name="Weekly trend" cacheId="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6">
  <location ref="A25:B33"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7">
        <item x="3"/>
        <item x="1"/>
        <item x="5"/>
        <item x="6"/>
        <item x="4"/>
        <item x="0"/>
        <item x="2"/>
      </items>
    </pivotField>
  </pivotFields>
  <rowFields count="1">
    <field x="2"/>
  </rowFields>
  <rowItems count="8">
    <i>
      <x/>
    </i>
    <i>
      <x v="1"/>
    </i>
    <i>
      <x v="2"/>
    </i>
    <i>
      <x v="3"/>
    </i>
    <i>
      <x v="4"/>
    </i>
    <i>
      <x v="5"/>
    </i>
    <i>
      <x v="6"/>
    </i>
    <i t="grand">
      <x/>
    </i>
  </rowItems>
  <colItems count="1">
    <i/>
  </colItems>
  <dataFields count="1">
    <dataField fld="1" subtotal="count" baseField="0" baseItem="0"/>
  </dataFields>
  <chartFormats count="3">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0D3283-A05E-4150-8780-8620A5EEC8A6}" name="Male and Female" cacheId="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4">
  <location ref="A57:D62"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4">
    <i>
      <x/>
    </i>
    <i>
      <x v="1"/>
    </i>
    <i>
      <x v="2"/>
    </i>
    <i t="grand">
      <x/>
    </i>
  </rowItems>
  <colFields count="1">
    <field x="2"/>
  </colFields>
  <colItems count="3">
    <i>
      <x/>
    </i>
    <i>
      <x v="1"/>
    </i>
    <i t="grand">
      <x/>
    </i>
  </colItems>
  <dataFields count="1">
    <dataField fld="1" subtotal="count" baseField="0" baseItem="0"/>
  </dataFields>
  <chartFormats count="2">
    <chartFormat chart="13" format="5" series="1">
      <pivotArea type="data" outline="0" fieldPosition="0">
        <references count="2">
          <reference field="4294967294" count="1" selected="0">
            <x v="0"/>
          </reference>
          <reference field="2" count="1" selected="0">
            <x v="0"/>
          </reference>
        </references>
      </pivotArea>
    </chartFormat>
    <chartFormat chart="13" format="6" series="1">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6CC129-1C10-4231-93A6-D9CEE5BE5FFA}" name="Monthly Trend" cacheId="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4">
  <location ref="A10:C23" firstHeaderRow="0" firstDataRow="1" firstDataCol="1"/>
  <pivotFields count="5">
    <pivotField axis="axisRow" allDrilled="1" subtotalTop="0" showAll="0" dataSourceSort="1" defaultSubtotal="0" defaultAttributeDrillState="1">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name="Count of Call number" fld="2" subtotal="count" baseField="0" baseItem="0"/>
    <dataField name="Count of Call number2" fld="4" subtotal="count" baseField="0" baseItem="0">
      <extLst>
        <ext xmlns:x14="http://schemas.microsoft.com/office/spreadsheetml/2009/9/main" uri="{E15A36E0-9728-4e99-A89B-3F7291B0FE68}">
          <x14:dataField sourceField="2" uniqueName="[__Xl2].[Measures].[Count of Call number]"/>
        </ext>
      </extLst>
    </dataField>
  </dataFields>
  <chartFormats count="4">
    <chartFormat chart="6"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1"/>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7488FD08-F735-4007-9FC5-4149C255A885}" sourceName="[calls].[Representative]">
  <pivotTables>
    <pivotTable tabId="6" name="Rep Pivot"/>
    <pivotTable tabId="6" name="Monthly Trend"/>
    <pivotTable tabId="6" name="Weekly trend"/>
    <pivotTable tabId="6" name="Selected Rep"/>
    <pivotTable tabId="6" name="Rep Satisfaction"/>
  </pivotTables>
  <data>
    <olap pivotCacheId="983070232">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BAA8E311-45E1-4247-BADC-E0D4CAF56FFD}" cache="Slicer_Representative" caption="Representative" level="1"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E4B97-A666-41B5-B94E-22308816BC75}">
  <dimension ref="A3:J93"/>
  <sheetViews>
    <sheetView topLeftCell="A48" workbookViewId="0">
      <selection activeCell="G61" sqref="G61"/>
    </sheetView>
  </sheetViews>
  <sheetFormatPr defaultRowHeight="14.25"/>
  <cols>
    <col min="1" max="1" width="13.125" bestFit="1" customWidth="1"/>
    <col min="2" max="2" width="10.125" bestFit="1" customWidth="1"/>
    <col min="3" max="3" width="20.875" bestFit="1" customWidth="1"/>
    <col min="4" max="4" width="14.625" bestFit="1" customWidth="1"/>
    <col min="5" max="5" width="7.5" bestFit="1" customWidth="1"/>
    <col min="6" max="6" width="12.75" bestFit="1" customWidth="1"/>
    <col min="7" max="7" width="11.375" bestFit="1" customWidth="1"/>
    <col min="9" max="9" width="11.875" bestFit="1" customWidth="1"/>
    <col min="10" max="10" width="10.75" bestFit="1" customWidth="1"/>
  </cols>
  <sheetData>
    <row r="3" spans="1:5">
      <c r="A3" t="s">
        <v>1042</v>
      </c>
      <c r="B3" t="s">
        <v>1071</v>
      </c>
      <c r="C3" t="s">
        <v>1044</v>
      </c>
      <c r="D3" t="s">
        <v>1043</v>
      </c>
      <c r="E3" t="s">
        <v>1045</v>
      </c>
    </row>
    <row r="4" spans="1:5">
      <c r="A4" s="21">
        <v>1000</v>
      </c>
      <c r="B4" s="26">
        <v>96623</v>
      </c>
      <c r="C4" s="21">
        <v>89850</v>
      </c>
      <c r="D4" s="22">
        <v>3.8854000000000033</v>
      </c>
      <c r="E4" s="21">
        <v>307</v>
      </c>
    </row>
    <row r="7" spans="1:5">
      <c r="A7" t="s">
        <v>1042</v>
      </c>
      <c r="B7" t="s">
        <v>1071</v>
      </c>
      <c r="C7" t="s">
        <v>1044</v>
      </c>
      <c r="D7" t="s">
        <v>1043</v>
      </c>
      <c r="E7" t="s">
        <v>1045</v>
      </c>
    </row>
    <row r="8" spans="1:5">
      <c r="A8" s="21">
        <v>1000</v>
      </c>
      <c r="B8" s="26">
        <v>96623</v>
      </c>
      <c r="C8" s="21">
        <v>89850</v>
      </c>
      <c r="D8" s="22">
        <v>3.8854000000000033</v>
      </c>
      <c r="E8" s="21">
        <v>307</v>
      </c>
    </row>
    <row r="10" spans="1:5">
      <c r="A10" s="24" t="s">
        <v>1046</v>
      </c>
      <c r="B10" t="s">
        <v>1060</v>
      </c>
      <c r="C10" t="s">
        <v>1068</v>
      </c>
    </row>
    <row r="11" spans="1:5">
      <c r="A11" s="25" t="s">
        <v>1048</v>
      </c>
      <c r="B11" s="23">
        <v>79</v>
      </c>
      <c r="C11" s="23">
        <v>79</v>
      </c>
    </row>
    <row r="12" spans="1:5">
      <c r="A12" s="25" t="s">
        <v>1049</v>
      </c>
      <c r="B12" s="23">
        <v>66</v>
      </c>
      <c r="C12" s="23">
        <v>66</v>
      </c>
    </row>
    <row r="13" spans="1:5">
      <c r="A13" s="25" t="s">
        <v>1050</v>
      </c>
      <c r="B13" s="23">
        <v>155</v>
      </c>
      <c r="C13" s="23">
        <v>155</v>
      </c>
    </row>
    <row r="14" spans="1:5">
      <c r="A14" s="25" t="s">
        <v>1051</v>
      </c>
      <c r="B14" s="23">
        <v>136</v>
      </c>
      <c r="C14" s="23">
        <v>136</v>
      </c>
    </row>
    <row r="15" spans="1:5">
      <c r="A15" s="25" t="s">
        <v>1052</v>
      </c>
      <c r="B15" s="23">
        <v>83</v>
      </c>
      <c r="C15" s="23">
        <v>83</v>
      </c>
    </row>
    <row r="16" spans="1:5">
      <c r="A16" s="25" t="s">
        <v>1053</v>
      </c>
      <c r="B16" s="23">
        <v>67</v>
      </c>
      <c r="C16" s="23">
        <v>67</v>
      </c>
    </row>
    <row r="17" spans="1:3">
      <c r="A17" s="25" t="s">
        <v>1054</v>
      </c>
      <c r="B17" s="23">
        <v>64</v>
      </c>
      <c r="C17" s="23">
        <v>64</v>
      </c>
    </row>
    <row r="18" spans="1:3">
      <c r="A18" s="25" t="s">
        <v>1055</v>
      </c>
      <c r="B18" s="23">
        <v>50</v>
      </c>
      <c r="C18" s="23">
        <v>50</v>
      </c>
    </row>
    <row r="19" spans="1:3">
      <c r="A19" s="25" t="s">
        <v>1056</v>
      </c>
      <c r="B19" s="23">
        <v>76</v>
      </c>
      <c r="C19" s="23">
        <v>76</v>
      </c>
    </row>
    <row r="20" spans="1:3">
      <c r="A20" s="25" t="s">
        <v>1057</v>
      </c>
      <c r="B20" s="23">
        <v>114</v>
      </c>
      <c r="C20" s="23">
        <v>114</v>
      </c>
    </row>
    <row r="21" spans="1:3">
      <c r="A21" s="25" t="s">
        <v>1058</v>
      </c>
      <c r="B21" s="23">
        <v>57</v>
      </c>
      <c r="C21" s="23">
        <v>57</v>
      </c>
    </row>
    <row r="22" spans="1:3">
      <c r="A22" s="25" t="s">
        <v>1059</v>
      </c>
      <c r="B22" s="23">
        <v>53</v>
      </c>
      <c r="C22" s="23">
        <v>53</v>
      </c>
    </row>
    <row r="23" spans="1:3">
      <c r="A23" s="25" t="s">
        <v>1047</v>
      </c>
      <c r="B23" s="23">
        <v>1000</v>
      </c>
      <c r="C23" s="23">
        <v>1000</v>
      </c>
    </row>
    <row r="25" spans="1:3">
      <c r="A25" s="24" t="s">
        <v>1046</v>
      </c>
      <c r="B25" t="s">
        <v>1042</v>
      </c>
    </row>
    <row r="26" spans="1:3">
      <c r="A26" s="25" t="s">
        <v>1063</v>
      </c>
      <c r="B26" s="21">
        <v>146</v>
      </c>
    </row>
    <row r="27" spans="1:3">
      <c r="A27" s="25" t="s">
        <v>1064</v>
      </c>
      <c r="B27" s="21">
        <v>133</v>
      </c>
    </row>
    <row r="28" spans="1:3">
      <c r="A28" s="25" t="s">
        <v>1065</v>
      </c>
      <c r="B28" s="21">
        <v>138</v>
      </c>
    </row>
    <row r="29" spans="1:3">
      <c r="A29" s="25" t="s">
        <v>1066</v>
      </c>
      <c r="B29" s="21">
        <v>153</v>
      </c>
    </row>
    <row r="30" spans="1:3">
      <c r="A30" s="25" t="s">
        <v>1061</v>
      </c>
      <c r="B30" s="21">
        <v>128</v>
      </c>
    </row>
    <row r="31" spans="1:3">
      <c r="A31" s="25" t="s">
        <v>1067</v>
      </c>
      <c r="B31" s="21">
        <v>141</v>
      </c>
    </row>
    <row r="32" spans="1:3">
      <c r="A32" s="25" t="s">
        <v>1062</v>
      </c>
      <c r="B32" s="21">
        <v>161</v>
      </c>
    </row>
    <row r="33" spans="1:10">
      <c r="A33" s="25" t="s">
        <v>1047</v>
      </c>
      <c r="B33" s="21">
        <v>1000</v>
      </c>
    </row>
    <row r="35" spans="1:10">
      <c r="I35" t="s">
        <v>1078</v>
      </c>
      <c r="J35" t="str">
        <f>A50</f>
        <v>R01</v>
      </c>
    </row>
    <row r="36" spans="1:10">
      <c r="F36" t="s">
        <v>1072</v>
      </c>
    </row>
    <row r="38" spans="1:10">
      <c r="F38" t="s">
        <v>1073</v>
      </c>
      <c r="G38" t="s">
        <v>1074</v>
      </c>
      <c r="H38" t="s">
        <v>1075</v>
      </c>
      <c r="I38" t="s">
        <v>1076</v>
      </c>
      <c r="J38" t="s">
        <v>1077</v>
      </c>
    </row>
    <row r="39" spans="1:10">
      <c r="A39" s="24" t="s">
        <v>1046</v>
      </c>
      <c r="B39" t="s">
        <v>1042</v>
      </c>
      <c r="C39" t="s">
        <v>1071</v>
      </c>
      <c r="F39" s="25" t="s">
        <v>11</v>
      </c>
      <c r="G39" s="21">
        <v>189</v>
      </c>
      <c r="H39" s="27">
        <v>18415</v>
      </c>
      <c r="I39">
        <f>IF(F39=$J$35,G39,NA())</f>
        <v>189</v>
      </c>
      <c r="J39" s="28">
        <f>IF(F39=$J$35,H39,NA())</f>
        <v>18415</v>
      </c>
    </row>
    <row r="40" spans="1:10">
      <c r="A40" s="25" t="s">
        <v>11</v>
      </c>
      <c r="B40" s="21">
        <v>189</v>
      </c>
      <c r="C40" s="26">
        <v>18415</v>
      </c>
      <c r="F40" s="25" t="s">
        <v>9</v>
      </c>
      <c r="G40" s="21">
        <v>218</v>
      </c>
      <c r="H40" s="27">
        <v>20581</v>
      </c>
      <c r="I40" t="e">
        <f t="shared" ref="I40:I43" si="0">IF(F40=$J$35,G40,NA())</f>
        <v>#N/A</v>
      </c>
      <c r="J40" s="28" t="e">
        <f t="shared" ref="J40:J43" si="1">IF(F40=$J$35,H40,NA())</f>
        <v>#N/A</v>
      </c>
    </row>
    <row r="41" spans="1:10">
      <c r="A41" s="25" t="s">
        <v>9</v>
      </c>
      <c r="B41" s="21">
        <v>218</v>
      </c>
      <c r="C41" s="26">
        <v>20581</v>
      </c>
      <c r="F41" s="25" t="s">
        <v>6</v>
      </c>
      <c r="G41" s="21">
        <v>207</v>
      </c>
      <c r="H41" s="27">
        <v>20872</v>
      </c>
      <c r="I41" t="e">
        <f t="shared" si="0"/>
        <v>#N/A</v>
      </c>
      <c r="J41" s="28" t="e">
        <f t="shared" si="1"/>
        <v>#N/A</v>
      </c>
    </row>
    <row r="42" spans="1:10">
      <c r="A42" s="25" t="s">
        <v>6</v>
      </c>
      <c r="B42" s="21">
        <v>207</v>
      </c>
      <c r="C42" s="26">
        <v>20872</v>
      </c>
      <c r="F42" s="25" t="s">
        <v>13</v>
      </c>
      <c r="G42" s="21">
        <v>186</v>
      </c>
      <c r="H42" s="27">
        <v>16651</v>
      </c>
      <c r="I42" t="e">
        <f t="shared" si="0"/>
        <v>#N/A</v>
      </c>
      <c r="J42" s="28" t="e">
        <f t="shared" si="1"/>
        <v>#N/A</v>
      </c>
    </row>
    <row r="43" spans="1:10">
      <c r="A43" s="25" t="s">
        <v>13</v>
      </c>
      <c r="B43" s="21">
        <v>186</v>
      </c>
      <c r="C43" s="26">
        <v>16651</v>
      </c>
      <c r="F43" s="25" t="s">
        <v>10</v>
      </c>
      <c r="G43" s="21">
        <v>200</v>
      </c>
      <c r="H43" s="27">
        <v>20104</v>
      </c>
      <c r="I43" t="e">
        <f t="shared" si="0"/>
        <v>#N/A</v>
      </c>
      <c r="J43" s="28" t="e">
        <f t="shared" si="1"/>
        <v>#N/A</v>
      </c>
    </row>
    <row r="44" spans="1:10">
      <c r="A44" s="25" t="s">
        <v>10</v>
      </c>
      <c r="B44" s="21">
        <v>200</v>
      </c>
      <c r="C44" s="26">
        <v>20104</v>
      </c>
    </row>
    <row r="45" spans="1:10">
      <c r="A45" s="25" t="s">
        <v>1047</v>
      </c>
      <c r="B45" s="21">
        <v>1000</v>
      </c>
      <c r="C45" s="26">
        <v>96623</v>
      </c>
    </row>
    <row r="49" spans="1:7">
      <c r="A49" s="24" t="s">
        <v>1046</v>
      </c>
      <c r="F49" t="s">
        <v>1080</v>
      </c>
    </row>
    <row r="50" spans="1:7">
      <c r="A50" s="25" t="s">
        <v>11</v>
      </c>
      <c r="F50" t="s">
        <v>1081</v>
      </c>
      <c r="G50" s="1">
        <f>A8/A4</f>
        <v>1</v>
      </c>
    </row>
    <row r="51" spans="1:7">
      <c r="A51" s="25" t="s">
        <v>9</v>
      </c>
      <c r="F51" t="s">
        <v>1074</v>
      </c>
      <c r="G51">
        <f>_xlfn.XLOOKUP(A50,F39:F43,G39:G43)</f>
        <v>189</v>
      </c>
    </row>
    <row r="52" spans="1:7">
      <c r="A52" s="25" t="s">
        <v>6</v>
      </c>
      <c r="F52" t="s">
        <v>1082</v>
      </c>
      <c r="G52">
        <f>_xlfn.XLOOKUP(A50,F39:F43,H39:H43)</f>
        <v>18415</v>
      </c>
    </row>
    <row r="53" spans="1:7">
      <c r="A53" s="25" t="s">
        <v>13</v>
      </c>
    </row>
    <row r="54" spans="1:7">
      <c r="A54" s="25" t="s">
        <v>10</v>
      </c>
      <c r="F54" t="s">
        <v>1083</v>
      </c>
      <c r="G54">
        <f>_xlfn.RANK.AVG(G51,G39:G43)</f>
        <v>4</v>
      </c>
    </row>
    <row r="55" spans="1:7">
      <c r="F55" t="s">
        <v>1084</v>
      </c>
      <c r="G55">
        <f>_xlfn.RANK.AVG(G52,H39:H43)</f>
        <v>4</v>
      </c>
    </row>
    <row r="57" spans="1:7">
      <c r="A57" s="24" t="s">
        <v>1042</v>
      </c>
      <c r="B57" s="24" t="s">
        <v>1070</v>
      </c>
      <c r="F57" t="s">
        <v>1085</v>
      </c>
    </row>
    <row r="58" spans="1:7">
      <c r="A58" s="24" t="s">
        <v>1046</v>
      </c>
      <c r="B58" t="s">
        <v>999</v>
      </c>
      <c r="C58" t="s">
        <v>998</v>
      </c>
      <c r="D58" t="s">
        <v>1047</v>
      </c>
      <c r="G58" t="str">
        <f>"% of Calls: "&amp;TEXT(G50,"0%")</f>
        <v>% of Calls: 100%</v>
      </c>
    </row>
    <row r="59" spans="1:7">
      <c r="A59" s="25" t="s">
        <v>1002</v>
      </c>
      <c r="B59" s="21">
        <v>144</v>
      </c>
      <c r="C59" s="21">
        <v>132</v>
      </c>
      <c r="D59" s="21">
        <v>276</v>
      </c>
      <c r="G59" t="str">
        <f>IF(COUNTA(A50:A54)&gt;1,"","Call Rank: "&amp;G54)</f>
        <v/>
      </c>
    </row>
    <row r="60" spans="1:7">
      <c r="A60" s="25" t="s">
        <v>1001</v>
      </c>
      <c r="B60" s="21">
        <v>326</v>
      </c>
      <c r="C60" s="21">
        <v>63</v>
      </c>
      <c r="D60" s="21">
        <v>389</v>
      </c>
      <c r="G60" t="str">
        <f>IF(COUNTA(A50:A54)&gt;1,"","Amount Rank: "&amp;G55)</f>
        <v/>
      </c>
    </row>
    <row r="61" spans="1:7">
      <c r="A61" s="25" t="s">
        <v>1000</v>
      </c>
      <c r="B61" s="21">
        <v>129</v>
      </c>
      <c r="C61" s="21">
        <v>206</v>
      </c>
      <c r="D61" s="21">
        <v>335</v>
      </c>
    </row>
    <row r="62" spans="1:7">
      <c r="A62" s="25" t="s">
        <v>1047</v>
      </c>
      <c r="B62" s="21">
        <v>599</v>
      </c>
      <c r="C62" s="21">
        <v>401</v>
      </c>
      <c r="D62" s="21">
        <v>1000</v>
      </c>
    </row>
    <row r="65" spans="1:7">
      <c r="A65" s="24" t="s">
        <v>1046</v>
      </c>
      <c r="B65" t="s">
        <v>1042</v>
      </c>
    </row>
    <row r="66" spans="1:7">
      <c r="A66" s="25">
        <v>0</v>
      </c>
      <c r="B66" s="21">
        <v>1</v>
      </c>
    </row>
    <row r="67" spans="1:7">
      <c r="A67" s="25">
        <v>1</v>
      </c>
      <c r="B67" s="21">
        <v>8</v>
      </c>
    </row>
    <row r="68" spans="1:7">
      <c r="A68" s="25">
        <v>2</v>
      </c>
      <c r="B68" s="21">
        <v>59</v>
      </c>
    </row>
    <row r="69" spans="1:7">
      <c r="A69" s="25">
        <v>3</v>
      </c>
      <c r="B69" s="21">
        <v>197</v>
      </c>
    </row>
    <row r="70" spans="1:7">
      <c r="A70" s="25">
        <v>4</v>
      </c>
      <c r="B70" s="21">
        <v>428</v>
      </c>
    </row>
    <row r="71" spans="1:7">
      <c r="A71" s="25">
        <v>5</v>
      </c>
      <c r="B71" s="21">
        <v>307</v>
      </c>
    </row>
    <row r="72" spans="1:7">
      <c r="A72" s="25" t="s">
        <v>1047</v>
      </c>
      <c r="B72" s="21">
        <v>1000</v>
      </c>
    </row>
    <row r="73" spans="1:7">
      <c r="A73" s="25"/>
      <c r="B73" s="21"/>
    </row>
    <row r="74" spans="1:7">
      <c r="A74" s="24" t="s">
        <v>1069</v>
      </c>
      <c r="B74" s="24" t="s">
        <v>1070</v>
      </c>
    </row>
    <row r="75" spans="1:7">
      <c r="A75" s="24" t="s">
        <v>1046</v>
      </c>
      <c r="B75" t="s">
        <v>11</v>
      </c>
      <c r="C75" t="s">
        <v>9</v>
      </c>
      <c r="D75" t="s">
        <v>6</v>
      </c>
      <c r="E75" t="s">
        <v>13</v>
      </c>
      <c r="F75" t="s">
        <v>10</v>
      </c>
      <c r="G75" t="s">
        <v>1047</v>
      </c>
    </row>
    <row r="76" spans="1:7">
      <c r="A76" s="25" t="s">
        <v>1002</v>
      </c>
      <c r="B76" s="28"/>
      <c r="C76" s="28"/>
      <c r="D76" s="28"/>
      <c r="E76" s="28"/>
      <c r="F76" s="28"/>
      <c r="G76" s="28"/>
    </row>
    <row r="77" spans="1:7">
      <c r="A77" s="29" t="s">
        <v>20</v>
      </c>
      <c r="B77" s="28">
        <v>891</v>
      </c>
      <c r="C77" s="28">
        <v>1332</v>
      </c>
      <c r="D77" s="28">
        <v>1282</v>
      </c>
      <c r="E77" s="28">
        <v>739</v>
      </c>
      <c r="F77" s="28">
        <v>560</v>
      </c>
      <c r="G77" s="28">
        <v>4804</v>
      </c>
    </row>
    <row r="78" spans="1:7">
      <c r="A78" s="29" t="s">
        <v>12</v>
      </c>
      <c r="B78" s="28">
        <v>1991</v>
      </c>
      <c r="C78" s="28">
        <v>1886</v>
      </c>
      <c r="D78" s="28">
        <v>1206</v>
      </c>
      <c r="E78" s="28">
        <v>884</v>
      </c>
      <c r="F78" s="28">
        <v>1722</v>
      </c>
      <c r="G78" s="28">
        <v>7689</v>
      </c>
    </row>
    <row r="79" spans="1:7">
      <c r="A79" s="29" t="s">
        <v>8</v>
      </c>
      <c r="B79" s="28">
        <v>1163</v>
      </c>
      <c r="C79" s="28">
        <v>1180</v>
      </c>
      <c r="D79" s="28">
        <v>1616</v>
      </c>
      <c r="E79" s="28">
        <v>1043</v>
      </c>
      <c r="F79" s="28">
        <v>1747</v>
      </c>
      <c r="G79" s="28">
        <v>6749</v>
      </c>
    </row>
    <row r="80" spans="1:7">
      <c r="A80" s="29" t="s">
        <v>16</v>
      </c>
      <c r="B80" s="28">
        <v>1438</v>
      </c>
      <c r="C80" s="28">
        <v>1616</v>
      </c>
      <c r="D80" s="28">
        <v>866</v>
      </c>
      <c r="E80" s="28">
        <v>829</v>
      </c>
      <c r="F80" s="28">
        <v>2070</v>
      </c>
      <c r="G80" s="28">
        <v>6819</v>
      </c>
    </row>
    <row r="81" spans="1:7">
      <c r="A81" s="25" t="s">
        <v>1001</v>
      </c>
      <c r="B81" s="28"/>
      <c r="C81" s="28"/>
      <c r="D81" s="28"/>
      <c r="E81" s="28"/>
      <c r="F81" s="28"/>
      <c r="G81" s="28"/>
    </row>
    <row r="82" spans="1:7">
      <c r="A82" s="29" t="s">
        <v>24</v>
      </c>
      <c r="B82" s="28">
        <v>1233</v>
      </c>
      <c r="C82" s="28">
        <v>223</v>
      </c>
      <c r="D82" s="28">
        <v>1680</v>
      </c>
      <c r="E82" s="28">
        <v>990</v>
      </c>
      <c r="F82" s="28">
        <v>1508</v>
      </c>
      <c r="G82" s="28">
        <v>5634</v>
      </c>
    </row>
    <row r="83" spans="1:7">
      <c r="A83" s="29" t="s">
        <v>15</v>
      </c>
      <c r="B83" s="28">
        <v>1598</v>
      </c>
      <c r="C83" s="28">
        <v>1907</v>
      </c>
      <c r="D83" s="28">
        <v>869</v>
      </c>
      <c r="E83" s="28">
        <v>1426</v>
      </c>
      <c r="F83" s="28">
        <v>1416</v>
      </c>
      <c r="G83" s="28">
        <v>7216</v>
      </c>
    </row>
    <row r="84" spans="1:7">
      <c r="A84" s="29" t="s">
        <v>5</v>
      </c>
      <c r="B84" s="28">
        <v>900</v>
      </c>
      <c r="C84" s="28">
        <v>1016</v>
      </c>
      <c r="D84" s="28">
        <v>960</v>
      </c>
      <c r="E84" s="28">
        <v>940</v>
      </c>
      <c r="F84" s="28">
        <v>1193</v>
      </c>
      <c r="G84" s="28">
        <v>5009</v>
      </c>
    </row>
    <row r="85" spans="1:7">
      <c r="A85" s="29" t="s">
        <v>18</v>
      </c>
      <c r="B85" s="28">
        <v>900</v>
      </c>
      <c r="C85" s="28">
        <v>1470</v>
      </c>
      <c r="D85" s="28">
        <v>1617</v>
      </c>
      <c r="E85" s="28">
        <v>1314</v>
      </c>
      <c r="F85" s="28">
        <v>941</v>
      </c>
      <c r="G85" s="28">
        <v>6242</v>
      </c>
    </row>
    <row r="86" spans="1:7">
      <c r="A86" s="29" t="s">
        <v>14</v>
      </c>
      <c r="B86" s="28">
        <v>1255</v>
      </c>
      <c r="C86" s="28">
        <v>516</v>
      </c>
      <c r="D86" s="28">
        <v>1874</v>
      </c>
      <c r="E86" s="28">
        <v>1863</v>
      </c>
      <c r="F86" s="28">
        <v>1722</v>
      </c>
      <c r="G86" s="28">
        <v>7230</v>
      </c>
    </row>
    <row r="87" spans="1:7">
      <c r="A87" s="29" t="s">
        <v>19</v>
      </c>
      <c r="B87" s="28">
        <v>1138</v>
      </c>
      <c r="C87" s="28">
        <v>1898</v>
      </c>
      <c r="D87" s="28">
        <v>1482</v>
      </c>
      <c r="E87" s="28">
        <v>846</v>
      </c>
      <c r="F87" s="28">
        <v>1154</v>
      </c>
      <c r="G87" s="28">
        <v>6518</v>
      </c>
    </row>
    <row r="88" spans="1:7">
      <c r="A88" s="25" t="s">
        <v>1000</v>
      </c>
      <c r="B88" s="28"/>
      <c r="C88" s="28"/>
      <c r="D88" s="28"/>
      <c r="E88" s="28"/>
      <c r="F88" s="28"/>
      <c r="G88" s="28"/>
    </row>
    <row r="89" spans="1:7">
      <c r="A89" s="29" t="s">
        <v>17</v>
      </c>
      <c r="B89" s="28">
        <v>1655</v>
      </c>
      <c r="C89" s="28">
        <v>805</v>
      </c>
      <c r="D89" s="28">
        <v>2263</v>
      </c>
      <c r="E89" s="28">
        <v>987</v>
      </c>
      <c r="F89" s="28">
        <v>1075</v>
      </c>
      <c r="G89" s="28">
        <v>6785</v>
      </c>
    </row>
    <row r="90" spans="1:7">
      <c r="A90" s="29" t="s">
        <v>23</v>
      </c>
      <c r="B90" s="28">
        <v>1104</v>
      </c>
      <c r="C90" s="28">
        <v>2280</v>
      </c>
      <c r="D90" s="28">
        <v>1445</v>
      </c>
      <c r="E90" s="28">
        <v>1722</v>
      </c>
      <c r="F90" s="28">
        <v>1196</v>
      </c>
      <c r="G90" s="28">
        <v>7747</v>
      </c>
    </row>
    <row r="91" spans="1:7">
      <c r="A91" s="29" t="s">
        <v>7</v>
      </c>
      <c r="B91" s="28">
        <v>372</v>
      </c>
      <c r="C91" s="28">
        <v>1818</v>
      </c>
      <c r="D91" s="28">
        <v>1346</v>
      </c>
      <c r="E91" s="28">
        <v>1156</v>
      </c>
      <c r="F91" s="28">
        <v>1484</v>
      </c>
      <c r="G91" s="28">
        <v>6176</v>
      </c>
    </row>
    <row r="92" spans="1:7">
      <c r="A92" s="29" t="s">
        <v>22</v>
      </c>
      <c r="B92" s="28">
        <v>1415</v>
      </c>
      <c r="C92" s="28">
        <v>1271</v>
      </c>
      <c r="D92" s="28">
        <v>1214</v>
      </c>
      <c r="E92" s="28">
        <v>1135</v>
      </c>
      <c r="F92" s="28">
        <v>1566</v>
      </c>
      <c r="G92" s="28">
        <v>6601</v>
      </c>
    </row>
    <row r="93" spans="1:7">
      <c r="A93" s="29" t="s">
        <v>21</v>
      </c>
      <c r="B93" s="28">
        <v>1362</v>
      </c>
      <c r="C93" s="28">
        <v>1363</v>
      </c>
      <c r="D93" s="28">
        <v>1152</v>
      </c>
      <c r="E93" s="28">
        <v>777</v>
      </c>
      <c r="F93" s="28">
        <v>750</v>
      </c>
      <c r="G93" s="28">
        <v>5404</v>
      </c>
    </row>
  </sheetData>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Normal="100" workbookViewId="0">
      <selection activeCell="B4" sqref="B4"/>
    </sheetView>
  </sheetViews>
  <sheetFormatPr defaultRowHeight="14.25"/>
  <cols>
    <col min="1" max="1" width="3.25" customWidth="1"/>
    <col min="2" max="2" width="14.625" customWidth="1"/>
    <col min="3" max="3" width="12.875" customWidth="1"/>
    <col min="4" max="4" width="16.625" customWidth="1"/>
    <col min="5" max="5" width="15" customWidth="1"/>
    <col min="6" max="6" width="16.125" customWidth="1"/>
    <col min="7" max="7" width="17.25" customWidth="1"/>
    <col min="8" max="8" width="18.375" customWidth="1"/>
    <col min="9" max="9" width="17.25" customWidth="1"/>
    <col min="10" max="12" width="15.5" customWidth="1"/>
    <col min="13" max="16" width="7.5" customWidth="1"/>
    <col min="17" max="17" width="14.625" customWidth="1"/>
    <col min="20" max="20" width="10.625" customWidth="1"/>
  </cols>
  <sheetData>
    <row r="1" spans="2:20" s="4" customFormat="1" ht="48" customHeight="1">
      <c r="B1" s="5" t="s">
        <v>1003</v>
      </c>
    </row>
    <row r="2" spans="2:20">
      <c r="R2" s="1"/>
    </row>
    <row r="3" spans="2:20" ht="1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05C7D-EE4B-4AC6-97A4-29B639A45BA3}">
  <dimension ref="A1:AC40"/>
  <sheetViews>
    <sheetView tabSelected="1" zoomScale="70" zoomScaleNormal="70" workbookViewId="0">
      <pane ySplit="1" topLeftCell="A2" activePane="bottomLeft" state="frozen"/>
      <selection pane="bottomLeft" activeCell="X6" sqref="X6"/>
    </sheetView>
  </sheetViews>
  <sheetFormatPr defaultRowHeight="14.25"/>
  <cols>
    <col min="1" max="1" width="1.875" customWidth="1"/>
    <col min="2" max="2" width="3.125" customWidth="1"/>
    <col min="4" max="4" width="11.625" customWidth="1"/>
    <col min="14" max="14" width="15.625" customWidth="1"/>
    <col min="20" max="20" width="9" customWidth="1"/>
  </cols>
  <sheetData>
    <row r="1" spans="1:29" ht="54" customHeight="1">
      <c r="A1" s="46" t="s">
        <v>1086</v>
      </c>
      <c r="B1" s="46"/>
      <c r="C1" s="46"/>
      <c r="D1" s="46"/>
      <c r="E1" s="46"/>
      <c r="F1" s="46"/>
      <c r="G1" s="46"/>
      <c r="H1" s="46"/>
      <c r="I1" s="46"/>
      <c r="J1" s="46"/>
      <c r="K1" s="46"/>
      <c r="L1" s="46"/>
      <c r="M1" s="46"/>
      <c r="N1" s="46"/>
      <c r="O1" s="46"/>
      <c r="P1" s="46"/>
      <c r="Q1" s="46"/>
      <c r="R1" s="46"/>
      <c r="S1" s="46"/>
      <c r="T1" s="46"/>
      <c r="U1" s="20"/>
      <c r="V1" s="20"/>
      <c r="W1" s="20"/>
      <c r="X1" s="20"/>
      <c r="Y1" s="20"/>
      <c r="Z1" s="20"/>
      <c r="AA1" s="20"/>
      <c r="AB1" s="20"/>
      <c r="AC1" s="20"/>
    </row>
    <row r="2" spans="1:29">
      <c r="A2" s="42"/>
      <c r="B2" s="42"/>
      <c r="C2" s="42"/>
      <c r="D2" s="42"/>
      <c r="E2" s="42"/>
      <c r="F2" s="42"/>
      <c r="G2" s="42"/>
      <c r="H2" s="42"/>
      <c r="I2" s="42"/>
      <c r="J2" s="42"/>
      <c r="K2" s="42"/>
      <c r="L2" s="42"/>
      <c r="M2" s="42"/>
      <c r="N2" s="42"/>
      <c r="O2" s="42"/>
      <c r="P2" s="42"/>
      <c r="Q2" s="42"/>
      <c r="R2" s="42"/>
      <c r="S2" s="42"/>
      <c r="T2" s="42"/>
      <c r="U2" s="20"/>
      <c r="V2" s="20"/>
      <c r="W2" s="20"/>
      <c r="X2" s="20"/>
      <c r="Y2" s="20"/>
      <c r="Z2" s="20"/>
      <c r="AA2" s="20"/>
      <c r="AB2" s="20"/>
      <c r="AC2" s="20"/>
    </row>
    <row r="3" spans="1:29">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row>
    <row r="4" spans="1:29">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row>
    <row r="5" spans="1:29">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row>
    <row r="6" spans="1:29">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row>
    <row r="7" spans="1:29">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row>
    <row r="8" spans="1:29">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row>
    <row r="9" spans="1:29">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row>
    <row r="10" spans="1:29">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row>
    <row r="11" spans="1:29">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row>
    <row r="12" spans="1:29">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row>
    <row r="13" spans="1:29">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row>
    <row r="14" spans="1:29">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row>
    <row r="15" spans="1:29">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row>
    <row r="16" spans="1:29" ht="18">
      <c r="A16" s="20"/>
      <c r="B16" s="20"/>
      <c r="C16" s="20"/>
      <c r="D16" s="20"/>
      <c r="E16" s="20"/>
      <c r="F16" s="20"/>
      <c r="G16" s="20"/>
      <c r="H16" s="20"/>
      <c r="I16" s="20"/>
      <c r="J16" s="20"/>
      <c r="K16" s="20"/>
      <c r="L16" s="20"/>
      <c r="M16" s="20"/>
      <c r="N16" s="30"/>
      <c r="O16" s="39" t="str" cm="1">
        <f t="array" ref="O16:S16">Pivots!B75:F75</f>
        <v>R01</v>
      </c>
      <c r="P16" s="39" t="str">
        <v>R02</v>
      </c>
      <c r="Q16" s="39" t="str">
        <v>R03</v>
      </c>
      <c r="R16" s="39" t="str">
        <v>R04</v>
      </c>
      <c r="S16" s="39" t="str">
        <v>R05</v>
      </c>
      <c r="T16" s="40" t="s">
        <v>1079</v>
      </c>
      <c r="U16" s="20"/>
      <c r="V16" s="20"/>
      <c r="W16" s="20"/>
      <c r="X16" s="20"/>
      <c r="Y16" s="20"/>
      <c r="Z16" s="20"/>
      <c r="AA16" s="20"/>
      <c r="AB16" s="20"/>
      <c r="AC16" s="20"/>
    </row>
    <row r="17" spans="1:29">
      <c r="A17" s="20"/>
      <c r="B17" s="20"/>
      <c r="C17" s="20"/>
      <c r="D17" s="20"/>
      <c r="E17" s="20"/>
      <c r="F17" s="20"/>
      <c r="G17" s="20"/>
      <c r="H17" s="20"/>
      <c r="I17" s="20"/>
      <c r="J17" s="20"/>
      <c r="K17" s="20"/>
      <c r="L17" s="20"/>
      <c r="M17" s="20"/>
      <c r="N17" s="31"/>
      <c r="O17" s="32"/>
      <c r="P17" s="32"/>
      <c r="Q17" s="32"/>
      <c r="R17" s="32"/>
      <c r="S17" s="32"/>
      <c r="T17" s="33"/>
      <c r="U17" s="20"/>
      <c r="V17" s="20"/>
      <c r="W17" s="20"/>
      <c r="X17" s="20"/>
      <c r="Y17" s="20"/>
      <c r="Z17" s="20"/>
      <c r="AA17" s="20"/>
      <c r="AB17" s="20"/>
      <c r="AC17" s="20"/>
    </row>
    <row r="18" spans="1:29" ht="15">
      <c r="A18" s="20"/>
      <c r="B18" s="20"/>
      <c r="C18" s="20"/>
      <c r="D18" s="20"/>
      <c r="E18" s="20"/>
      <c r="F18" s="20"/>
      <c r="G18" s="20"/>
      <c r="H18" s="20"/>
      <c r="I18" s="20"/>
      <c r="J18" s="20"/>
      <c r="K18" s="20"/>
      <c r="L18" s="20"/>
      <c r="M18" s="20"/>
      <c r="N18" s="41" t="str" cm="1">
        <f t="array" ref="N18:T35">IF(Pivots!A76:G93="","",Pivots!A76:G93)</f>
        <v>Cincinnati</v>
      </c>
      <c r="O18" s="32" t="str">
        <v/>
      </c>
      <c r="P18" s="32" t="str">
        <v/>
      </c>
      <c r="Q18" s="32" t="str">
        <v/>
      </c>
      <c r="R18" s="32" t="str">
        <v/>
      </c>
      <c r="S18" s="32" t="str">
        <v/>
      </c>
      <c r="T18" s="33" t="str">
        <v/>
      </c>
      <c r="U18" s="20"/>
      <c r="V18" s="20"/>
      <c r="W18" s="20"/>
      <c r="X18" s="20"/>
      <c r="Y18" s="20"/>
      <c r="Z18" s="20"/>
      <c r="AA18" s="20"/>
      <c r="AB18" s="20"/>
      <c r="AC18" s="20"/>
    </row>
    <row r="19" spans="1:29">
      <c r="A19" s="20"/>
      <c r="B19" s="20"/>
      <c r="C19" s="20"/>
      <c r="D19" s="20"/>
      <c r="E19" s="20"/>
      <c r="F19" s="20"/>
      <c r="G19" s="20"/>
      <c r="H19" s="20"/>
      <c r="I19" s="20"/>
      <c r="J19" s="20"/>
      <c r="K19" s="20"/>
      <c r="L19" s="20"/>
      <c r="M19" s="20"/>
      <c r="N19" s="31" t="str">
        <v>C0003</v>
      </c>
      <c r="O19" s="34">
        <v>891</v>
      </c>
      <c r="P19" s="34">
        <v>1332</v>
      </c>
      <c r="Q19" s="34">
        <v>1282</v>
      </c>
      <c r="R19" s="34">
        <v>739</v>
      </c>
      <c r="S19" s="34">
        <v>560</v>
      </c>
      <c r="T19" s="35">
        <v>4804</v>
      </c>
      <c r="U19" s="20"/>
      <c r="V19" s="20"/>
      <c r="W19" s="20"/>
      <c r="X19" s="20"/>
      <c r="Y19" s="20"/>
      <c r="Z19" s="20"/>
      <c r="AA19" s="20"/>
      <c r="AB19" s="20"/>
      <c r="AC19" s="20"/>
    </row>
    <row r="20" spans="1:29">
      <c r="A20" s="20"/>
      <c r="B20" s="20"/>
      <c r="C20" s="20"/>
      <c r="D20" s="20"/>
      <c r="E20" s="20"/>
      <c r="F20" s="20"/>
      <c r="G20" s="20"/>
      <c r="H20" s="20"/>
      <c r="I20" s="20"/>
      <c r="J20" s="20"/>
      <c r="K20" s="20"/>
      <c r="L20" s="20"/>
      <c r="M20" s="20"/>
      <c r="N20" s="31" t="str">
        <v>C0004</v>
      </c>
      <c r="O20" s="34">
        <v>1991</v>
      </c>
      <c r="P20" s="34">
        <v>1886</v>
      </c>
      <c r="Q20" s="34">
        <v>1206</v>
      </c>
      <c r="R20" s="34">
        <v>884</v>
      </c>
      <c r="S20" s="34">
        <v>1722</v>
      </c>
      <c r="T20" s="35">
        <v>7689</v>
      </c>
      <c r="U20" s="20"/>
      <c r="V20" s="20"/>
      <c r="W20" s="20"/>
      <c r="X20" s="20"/>
      <c r="Y20" s="20"/>
      <c r="Z20" s="20"/>
      <c r="AA20" s="20"/>
      <c r="AB20" s="20"/>
      <c r="AC20" s="20"/>
    </row>
    <row r="21" spans="1:29">
      <c r="A21" s="20"/>
      <c r="B21" s="20"/>
      <c r="C21" s="20"/>
      <c r="D21" s="20"/>
      <c r="E21" s="20"/>
      <c r="F21" s="20"/>
      <c r="G21" s="20"/>
      <c r="H21" s="20"/>
      <c r="I21" s="20"/>
      <c r="J21" s="20"/>
      <c r="K21" s="20"/>
      <c r="L21" s="20"/>
      <c r="M21" s="20"/>
      <c r="N21" s="31" t="str">
        <v>C0011</v>
      </c>
      <c r="O21" s="34">
        <v>1163</v>
      </c>
      <c r="P21" s="34">
        <v>1180</v>
      </c>
      <c r="Q21" s="34">
        <v>1616</v>
      </c>
      <c r="R21" s="34">
        <v>1043</v>
      </c>
      <c r="S21" s="34">
        <v>1747</v>
      </c>
      <c r="T21" s="35">
        <v>6749</v>
      </c>
      <c r="U21" s="20"/>
      <c r="V21" s="20"/>
      <c r="W21" s="20"/>
      <c r="X21" s="20"/>
      <c r="Y21" s="20"/>
      <c r="Z21" s="20"/>
      <c r="AA21" s="20"/>
      <c r="AB21" s="20"/>
      <c r="AC21" s="20"/>
    </row>
    <row r="22" spans="1:29">
      <c r="A22" s="20"/>
      <c r="B22" s="20"/>
      <c r="C22" s="20"/>
      <c r="D22" s="20"/>
      <c r="E22" s="20"/>
      <c r="F22" s="20"/>
      <c r="G22" s="20"/>
      <c r="H22" s="20"/>
      <c r="I22" s="20"/>
      <c r="J22" s="20"/>
      <c r="K22" s="20"/>
      <c r="L22" s="20"/>
      <c r="M22" s="20"/>
      <c r="N22" s="31" t="str">
        <v>C0012</v>
      </c>
      <c r="O22" s="34">
        <v>1438</v>
      </c>
      <c r="P22" s="34">
        <v>1616</v>
      </c>
      <c r="Q22" s="34">
        <v>866</v>
      </c>
      <c r="R22" s="34">
        <v>829</v>
      </c>
      <c r="S22" s="34">
        <v>2070</v>
      </c>
      <c r="T22" s="35">
        <v>6819</v>
      </c>
      <c r="U22" s="20"/>
      <c r="V22" s="20"/>
      <c r="W22" s="20"/>
      <c r="X22" s="20"/>
      <c r="Y22" s="20"/>
      <c r="Z22" s="20"/>
      <c r="AA22" s="20"/>
      <c r="AB22" s="20"/>
      <c r="AC22" s="20"/>
    </row>
    <row r="23" spans="1:29" ht="15">
      <c r="A23" s="20"/>
      <c r="B23" s="20"/>
      <c r="C23" s="20"/>
      <c r="D23" s="20"/>
      <c r="E23" s="20"/>
      <c r="F23" s="20"/>
      <c r="G23" s="20"/>
      <c r="H23" s="20"/>
      <c r="I23" s="20"/>
      <c r="J23" s="20"/>
      <c r="K23" s="20"/>
      <c r="L23" s="20"/>
      <c r="M23" s="20"/>
      <c r="N23" s="41" t="str">
        <v>Cleveland</v>
      </c>
      <c r="O23" s="34" t="str">
        <v/>
      </c>
      <c r="P23" s="34" t="str">
        <v/>
      </c>
      <c r="Q23" s="34" t="str">
        <v/>
      </c>
      <c r="R23" s="34" t="str">
        <v/>
      </c>
      <c r="S23" s="34" t="str">
        <v/>
      </c>
      <c r="T23" s="35" t="str">
        <v/>
      </c>
      <c r="U23" s="20"/>
      <c r="V23" s="20"/>
      <c r="W23" s="20"/>
      <c r="X23" s="20"/>
      <c r="Y23" s="20"/>
      <c r="Z23" s="20"/>
      <c r="AA23" s="20"/>
      <c r="AB23" s="20"/>
      <c r="AC23" s="20"/>
    </row>
    <row r="24" spans="1:29">
      <c r="A24" s="20"/>
      <c r="B24" s="20"/>
      <c r="C24" s="20"/>
      <c r="D24" s="20"/>
      <c r="E24" s="20"/>
      <c r="F24" s="20"/>
      <c r="G24" s="20"/>
      <c r="H24" s="20"/>
      <c r="I24" s="20"/>
      <c r="J24" s="20"/>
      <c r="K24" s="20"/>
      <c r="L24" s="20"/>
      <c r="M24" s="20"/>
      <c r="N24" s="31" t="str">
        <v>C0002</v>
      </c>
      <c r="O24" s="34">
        <v>1233</v>
      </c>
      <c r="P24" s="34">
        <v>223</v>
      </c>
      <c r="Q24" s="34">
        <v>1680</v>
      </c>
      <c r="R24" s="34">
        <v>990</v>
      </c>
      <c r="S24" s="34">
        <v>1508</v>
      </c>
      <c r="T24" s="35">
        <v>5634</v>
      </c>
      <c r="U24" s="20"/>
      <c r="V24" s="20"/>
      <c r="W24" s="20"/>
      <c r="X24" s="20"/>
      <c r="Y24" s="20"/>
      <c r="Z24" s="20"/>
      <c r="AA24" s="20"/>
      <c r="AB24" s="20"/>
      <c r="AC24" s="20"/>
    </row>
    <row r="25" spans="1:29">
      <c r="A25" s="20"/>
      <c r="B25" s="20"/>
      <c r="C25" s="20"/>
      <c r="D25" s="20"/>
      <c r="E25" s="20"/>
      <c r="F25" s="20"/>
      <c r="G25" s="20"/>
      <c r="H25" s="20"/>
      <c r="I25" s="20"/>
      <c r="J25" s="20"/>
      <c r="K25" s="20"/>
      <c r="L25" s="20"/>
      <c r="M25" s="20"/>
      <c r="N25" s="31" t="str">
        <v>C0007</v>
      </c>
      <c r="O25" s="34">
        <v>1598</v>
      </c>
      <c r="P25" s="34">
        <v>1907</v>
      </c>
      <c r="Q25" s="34">
        <v>869</v>
      </c>
      <c r="R25" s="34">
        <v>1426</v>
      </c>
      <c r="S25" s="34">
        <v>1416</v>
      </c>
      <c r="T25" s="35">
        <v>7216</v>
      </c>
      <c r="U25" s="20"/>
      <c r="V25" s="20"/>
      <c r="W25" s="20"/>
      <c r="X25" s="20"/>
      <c r="Y25" s="20"/>
      <c r="Z25" s="20"/>
      <c r="AA25" s="20"/>
      <c r="AB25" s="20"/>
      <c r="AC25" s="20"/>
    </row>
    <row r="26" spans="1:29">
      <c r="A26" s="20"/>
      <c r="B26" s="20"/>
      <c r="C26" s="20"/>
      <c r="D26" s="20"/>
      <c r="E26" s="20"/>
      <c r="F26" s="20"/>
      <c r="G26" s="20"/>
      <c r="H26" s="20"/>
      <c r="I26" s="20"/>
      <c r="J26" s="20"/>
      <c r="K26" s="42"/>
      <c r="L26" s="42"/>
      <c r="M26" s="43"/>
      <c r="N26" s="31" t="str">
        <v>C0008</v>
      </c>
      <c r="O26" s="34">
        <v>900</v>
      </c>
      <c r="P26" s="34">
        <v>1016</v>
      </c>
      <c r="Q26" s="34">
        <v>960</v>
      </c>
      <c r="R26" s="34">
        <v>940</v>
      </c>
      <c r="S26" s="34">
        <v>1193</v>
      </c>
      <c r="T26" s="35">
        <v>5009</v>
      </c>
      <c r="U26" s="20"/>
      <c r="V26" s="20"/>
      <c r="W26" s="20"/>
      <c r="X26" s="20"/>
      <c r="Y26" s="20"/>
      <c r="Z26" s="20"/>
      <c r="AA26" s="20"/>
      <c r="AB26" s="20"/>
      <c r="AC26" s="20"/>
    </row>
    <row r="27" spans="1:29" ht="15.75">
      <c r="A27" s="20"/>
      <c r="B27" s="20"/>
      <c r="C27" s="20"/>
      <c r="D27" s="20"/>
      <c r="E27" s="20"/>
      <c r="F27" s="20"/>
      <c r="G27" s="20"/>
      <c r="H27" s="20"/>
      <c r="I27" s="20"/>
      <c r="J27" s="20"/>
      <c r="K27" s="44" t="str">
        <f>Pivots!G58</f>
        <v>% of Calls: 100%</v>
      </c>
      <c r="L27" s="44"/>
      <c r="M27" s="45"/>
      <c r="N27" s="31" t="str">
        <v>C0010</v>
      </c>
      <c r="O27" s="34">
        <v>900</v>
      </c>
      <c r="P27" s="34">
        <v>1470</v>
      </c>
      <c r="Q27" s="34">
        <v>1617</v>
      </c>
      <c r="R27" s="34">
        <v>1314</v>
      </c>
      <c r="S27" s="34">
        <v>941</v>
      </c>
      <c r="T27" s="35">
        <v>6242</v>
      </c>
      <c r="U27" s="20"/>
      <c r="V27" s="20"/>
      <c r="W27" s="20"/>
      <c r="X27" s="20"/>
      <c r="Y27" s="20"/>
      <c r="Z27" s="20"/>
      <c r="AA27" s="20"/>
      <c r="AB27" s="20"/>
      <c r="AC27" s="20"/>
    </row>
    <row r="28" spans="1:29" ht="15.75">
      <c r="A28" s="20"/>
      <c r="B28" s="20"/>
      <c r="C28" s="20"/>
      <c r="D28" s="20"/>
      <c r="E28" s="20"/>
      <c r="F28" s="20"/>
      <c r="G28" s="20"/>
      <c r="H28" s="20"/>
      <c r="I28" s="20"/>
      <c r="J28" s="20"/>
      <c r="K28" s="44" t="str">
        <f>Pivots!G59</f>
        <v/>
      </c>
      <c r="L28" s="44"/>
      <c r="M28" s="45"/>
      <c r="N28" s="31" t="str">
        <v>C0013</v>
      </c>
      <c r="O28" s="34">
        <v>1255</v>
      </c>
      <c r="P28" s="34">
        <v>516</v>
      </c>
      <c r="Q28" s="34">
        <v>1874</v>
      </c>
      <c r="R28" s="34">
        <v>1863</v>
      </c>
      <c r="S28" s="34">
        <v>1722</v>
      </c>
      <c r="T28" s="35">
        <v>7230</v>
      </c>
      <c r="U28" s="20"/>
      <c r="V28" s="20"/>
      <c r="W28" s="20"/>
      <c r="X28" s="20"/>
      <c r="Y28" s="20"/>
      <c r="Z28" s="20"/>
      <c r="AA28" s="20"/>
      <c r="AB28" s="20"/>
      <c r="AC28" s="20"/>
    </row>
    <row r="29" spans="1:29" ht="15.75">
      <c r="A29" s="20"/>
      <c r="B29" s="20"/>
      <c r="C29" s="20"/>
      <c r="D29" s="20"/>
      <c r="E29" s="20"/>
      <c r="F29" s="20"/>
      <c r="G29" s="20"/>
      <c r="H29" s="20"/>
      <c r="I29" s="20"/>
      <c r="J29" s="20"/>
      <c r="K29" s="44" t="str">
        <f>Pivots!G60</f>
        <v/>
      </c>
      <c r="L29" s="44"/>
      <c r="M29" s="45"/>
      <c r="N29" s="31" t="str">
        <v>C0015</v>
      </c>
      <c r="O29" s="34">
        <v>1138</v>
      </c>
      <c r="P29" s="34">
        <v>1898</v>
      </c>
      <c r="Q29" s="34">
        <v>1482</v>
      </c>
      <c r="R29" s="34">
        <v>846</v>
      </c>
      <c r="S29" s="34">
        <v>1154</v>
      </c>
      <c r="T29" s="35">
        <v>6518</v>
      </c>
      <c r="U29" s="20"/>
      <c r="V29" s="20"/>
      <c r="W29" s="20"/>
      <c r="X29" s="20"/>
      <c r="Y29" s="20"/>
      <c r="Z29" s="20"/>
      <c r="AA29" s="20"/>
      <c r="AB29" s="20"/>
      <c r="AC29" s="20"/>
    </row>
    <row r="30" spans="1:29" ht="15">
      <c r="A30" s="20"/>
      <c r="B30" s="20"/>
      <c r="C30" s="20"/>
      <c r="D30" s="20"/>
      <c r="E30" s="20"/>
      <c r="F30" s="20"/>
      <c r="G30" s="20"/>
      <c r="H30" s="20"/>
      <c r="I30" s="20"/>
      <c r="J30" s="20"/>
      <c r="K30" s="20"/>
      <c r="L30" s="20"/>
      <c r="M30" s="20"/>
      <c r="N30" s="41" t="str">
        <v>Columbus</v>
      </c>
      <c r="O30" s="34" t="str">
        <v/>
      </c>
      <c r="P30" s="34" t="str">
        <v/>
      </c>
      <c r="Q30" s="34" t="str">
        <v/>
      </c>
      <c r="R30" s="34" t="str">
        <v/>
      </c>
      <c r="S30" s="34" t="str">
        <v/>
      </c>
      <c r="T30" s="35" t="str">
        <v/>
      </c>
      <c r="U30" s="20"/>
      <c r="V30" s="20"/>
      <c r="W30" s="20"/>
      <c r="X30" s="20"/>
      <c r="Y30" s="20"/>
      <c r="Z30" s="20"/>
      <c r="AA30" s="20"/>
      <c r="AB30" s="20"/>
      <c r="AC30" s="20"/>
    </row>
    <row r="31" spans="1:29">
      <c r="A31" s="20"/>
      <c r="B31" s="20"/>
      <c r="C31" s="20"/>
      <c r="D31" s="20"/>
      <c r="E31" s="20"/>
      <c r="F31" s="20"/>
      <c r="G31" s="20"/>
      <c r="H31" s="20"/>
      <c r="I31" s="20"/>
      <c r="J31" s="20"/>
      <c r="K31" s="20"/>
      <c r="L31" s="20"/>
      <c r="M31" s="20"/>
      <c r="N31" s="31" t="str">
        <v>C0001</v>
      </c>
      <c r="O31" s="34">
        <v>1655</v>
      </c>
      <c r="P31" s="34">
        <v>805</v>
      </c>
      <c r="Q31" s="34">
        <v>2263</v>
      </c>
      <c r="R31" s="34">
        <v>987</v>
      </c>
      <c r="S31" s="34">
        <v>1075</v>
      </c>
      <c r="T31" s="35">
        <v>6785</v>
      </c>
      <c r="U31" s="20"/>
      <c r="V31" s="20"/>
      <c r="W31" s="20"/>
      <c r="X31" s="20"/>
      <c r="Y31" s="20"/>
      <c r="Z31" s="20"/>
      <c r="AA31" s="20"/>
      <c r="AB31" s="20"/>
      <c r="AC31" s="20"/>
    </row>
    <row r="32" spans="1:29">
      <c r="A32" s="20"/>
      <c r="B32" s="20"/>
      <c r="C32" s="20"/>
      <c r="D32" s="20"/>
      <c r="E32" s="20"/>
      <c r="F32" s="20"/>
      <c r="G32" s="20"/>
      <c r="H32" s="20"/>
      <c r="I32" s="20"/>
      <c r="J32" s="20"/>
      <c r="K32" s="20"/>
      <c r="L32" s="20"/>
      <c r="M32" s="20"/>
      <c r="N32" s="31" t="str">
        <v>C0005</v>
      </c>
      <c r="O32" s="34">
        <v>1104</v>
      </c>
      <c r="P32" s="34">
        <v>2280</v>
      </c>
      <c r="Q32" s="34">
        <v>1445</v>
      </c>
      <c r="R32" s="34">
        <v>1722</v>
      </c>
      <c r="S32" s="34">
        <v>1196</v>
      </c>
      <c r="T32" s="35">
        <v>7747</v>
      </c>
      <c r="U32" s="20"/>
      <c r="V32" s="20"/>
      <c r="W32" s="20"/>
      <c r="X32" s="20"/>
      <c r="Y32" s="20"/>
      <c r="Z32" s="20"/>
      <c r="AA32" s="20"/>
      <c r="AB32" s="20"/>
      <c r="AC32" s="20"/>
    </row>
    <row r="33" spans="1:29">
      <c r="A33" s="20"/>
      <c r="B33" s="20"/>
      <c r="C33" s="20"/>
      <c r="D33" s="20"/>
      <c r="E33" s="20"/>
      <c r="F33" s="20"/>
      <c r="G33" s="20"/>
      <c r="H33" s="20"/>
      <c r="I33" s="20"/>
      <c r="J33" s="20"/>
      <c r="K33" s="20"/>
      <c r="L33" s="20"/>
      <c r="M33" s="20"/>
      <c r="N33" s="31" t="str">
        <v>C0006</v>
      </c>
      <c r="O33" s="34">
        <v>372</v>
      </c>
      <c r="P33" s="34">
        <v>1818</v>
      </c>
      <c r="Q33" s="34">
        <v>1346</v>
      </c>
      <c r="R33" s="34">
        <v>1156</v>
      </c>
      <c r="S33" s="34">
        <v>1484</v>
      </c>
      <c r="T33" s="35">
        <v>6176</v>
      </c>
      <c r="U33" s="20"/>
      <c r="V33" s="20"/>
      <c r="W33" s="20"/>
      <c r="X33" s="20"/>
      <c r="Y33" s="20"/>
      <c r="Z33" s="20"/>
      <c r="AA33" s="20"/>
      <c r="AB33" s="20"/>
      <c r="AC33" s="20"/>
    </row>
    <row r="34" spans="1:29">
      <c r="A34" s="20"/>
      <c r="B34" s="20"/>
      <c r="C34" s="20"/>
      <c r="D34" s="20"/>
      <c r="E34" s="20"/>
      <c r="F34" s="20"/>
      <c r="G34" s="20"/>
      <c r="H34" s="20"/>
      <c r="I34" s="20"/>
      <c r="J34" s="20"/>
      <c r="K34" s="20"/>
      <c r="L34" s="20"/>
      <c r="M34" s="20"/>
      <c r="N34" s="31" t="str">
        <v>C0009</v>
      </c>
      <c r="O34" s="34">
        <v>1415</v>
      </c>
      <c r="P34" s="34">
        <v>1271</v>
      </c>
      <c r="Q34" s="34">
        <v>1214</v>
      </c>
      <c r="R34" s="34">
        <v>1135</v>
      </c>
      <c r="S34" s="34">
        <v>1566</v>
      </c>
      <c r="T34" s="35">
        <v>6601</v>
      </c>
      <c r="U34" s="20"/>
      <c r="V34" s="20"/>
      <c r="W34" s="20"/>
      <c r="X34" s="20"/>
      <c r="Y34" s="20"/>
      <c r="Z34" s="20"/>
      <c r="AA34" s="20"/>
      <c r="AB34" s="20"/>
      <c r="AC34" s="20"/>
    </row>
    <row r="35" spans="1:29">
      <c r="A35" s="20"/>
      <c r="B35" s="20"/>
      <c r="C35" s="20"/>
      <c r="D35" s="20"/>
      <c r="E35" s="20"/>
      <c r="F35" s="20"/>
      <c r="G35" s="20"/>
      <c r="H35" s="20"/>
      <c r="I35" s="20"/>
      <c r="J35" s="20"/>
      <c r="K35" s="20"/>
      <c r="L35" s="20"/>
      <c r="M35" s="20"/>
      <c r="N35" s="36" t="str">
        <v>C0014</v>
      </c>
      <c r="O35" s="37">
        <v>1362</v>
      </c>
      <c r="P35" s="37">
        <v>1363</v>
      </c>
      <c r="Q35" s="37">
        <v>1152</v>
      </c>
      <c r="R35" s="37">
        <v>777</v>
      </c>
      <c r="S35" s="37">
        <v>750</v>
      </c>
      <c r="T35" s="38">
        <v>5404</v>
      </c>
      <c r="U35" s="20"/>
      <c r="V35" s="20"/>
      <c r="W35" s="20"/>
      <c r="X35" s="20"/>
      <c r="Y35" s="20"/>
      <c r="Z35" s="20"/>
      <c r="AA35" s="20"/>
      <c r="AB35" s="20"/>
      <c r="AC35" s="20"/>
    </row>
    <row r="36" spans="1:29">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row>
    <row r="37" spans="1:29">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row>
    <row r="38" spans="1:29">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row>
    <row r="39" spans="1:2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row>
    <row r="40" spans="1:29">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row>
  </sheetData>
  <mergeCells count="4">
    <mergeCell ref="K27:M27"/>
    <mergeCell ref="K28:M28"/>
    <mergeCell ref="K29:M29"/>
    <mergeCell ref="A1:T1"/>
  </mergeCells>
  <conditionalFormatting sqref="O19:S35">
    <cfRule type="dataBar" priority="5">
      <dataBar>
        <cfvo type="num" val="0"/>
        <cfvo type="formula" val="MAX($O$19:$S$35)*2"/>
        <color theme="8" tint="-0.499984740745262"/>
      </dataBar>
      <extLst>
        <ext xmlns:x14="http://schemas.microsoft.com/office/spreadsheetml/2009/9/main" uri="{B025F937-C7B1-47D3-B67F-A62EFF666E3E}">
          <x14:id>{D22958EF-83FD-4A7D-9FAC-656DB8720632}</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22958EF-83FD-4A7D-9FAC-656DB8720632}">
            <x14:dataBar minLength="0" maxLength="100" gradient="0">
              <x14:cfvo type="num">
                <xm:f>0</xm:f>
              </x14:cfvo>
              <x14:cfvo type="formula">
                <xm:f>MAX($O$19:$S$35)*2</xm:f>
              </x14:cfvo>
              <x14:negativeFillColor rgb="FFFF0000"/>
              <x14:axisColor rgb="FF000000"/>
            </x14:dataBar>
          </x14:cfRule>
          <xm:sqref>O19:S35</xm:sqref>
        </x14:conditionalFormatting>
        <x14:conditionalFormatting xmlns:xm="http://schemas.microsoft.com/office/excel/2006/main">
          <x14:cfRule type="expression" priority="6" id="{EFECBE97-1C6C-44D9-9D50-689C394DBB67}">
            <xm:f>O$16=Pivots!$A$50</xm:f>
            <x14:dxf>
              <fill>
                <patternFill>
                  <bgColor theme="5" tint="0.39994506668294322"/>
                </patternFill>
              </fill>
              <border>
                <left style="thin">
                  <color rgb="FF002060"/>
                </left>
                <right style="thin">
                  <color rgb="FF002060"/>
                </right>
                <vertical/>
                <horizontal/>
              </border>
            </x14:dxf>
          </x14:cfRule>
          <xm:sqref>O16:S35</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D4" sqref="D4"/>
    </sheetView>
  </sheetViews>
  <sheetFormatPr defaultRowHeight="14.25"/>
  <cols>
    <col min="5" max="5" width="6.5" bestFit="1" customWidth="1"/>
    <col min="6" max="6" width="12.125" customWidth="1"/>
  </cols>
  <sheetData>
    <row r="2" spans="5:6">
      <c r="E2" t="s">
        <v>1040</v>
      </c>
      <c r="F2" t="s">
        <v>1041</v>
      </c>
    </row>
    <row r="3" spans="5:6" ht="25.5" customHeight="1">
      <c r="E3" t="s">
        <v>11</v>
      </c>
      <c r="F3" t="e" vm="1">
        <v>#VALUE!</v>
      </c>
    </row>
    <row r="4" spans="5:6" ht="25.5" customHeight="1">
      <c r="E4" t="s">
        <v>9</v>
      </c>
      <c r="F4" t="e" vm="2">
        <v>#VALUE!</v>
      </c>
    </row>
    <row r="5" spans="5:6" ht="25.5" customHeight="1">
      <c r="E5" t="s">
        <v>6</v>
      </c>
      <c r="F5" t="e" vm="3">
        <v>#VALUE!</v>
      </c>
    </row>
    <row r="6" spans="5:6" ht="25.5" customHeight="1">
      <c r="E6" t="s">
        <v>13</v>
      </c>
      <c r="F6" t="e" vm="4">
        <v>#VALUE!</v>
      </c>
    </row>
    <row r="7" spans="5:6" ht="25.5" customHeight="1">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Data</vt:lpstr>
      <vt:lpstr>Customer Centre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Suman Dash</cp:lastModifiedBy>
  <dcterms:created xsi:type="dcterms:W3CDTF">2021-03-14T20:21:32Z</dcterms:created>
  <dcterms:modified xsi:type="dcterms:W3CDTF">2025-12-14T19:34:20Z</dcterms:modified>
</cp:coreProperties>
</file>